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55141d0bd7c7e8/Desktop/"/>
    </mc:Choice>
  </mc:AlternateContent>
  <xr:revisionPtr revIDLastSave="1476" documentId="8_{8289C4B6-615C-47B2-99AA-24FD6C17DC8E}" xr6:coauthVersionLast="47" xr6:coauthVersionMax="47" xr10:uidLastSave="{122B7DA0-C99A-4066-BEF6-3209134CAFBA}"/>
  <bookViews>
    <workbookView xWindow="-98" yWindow="-98" windowWidth="21795" windowHeight="12345" tabRatio="754" firstSheet="3" activeTab="6" xr2:uid="{535F1DF3-FB4C-4D3E-ACDF-4E990DF4AE62}"/>
  </bookViews>
  <sheets>
    <sheet name="Case Introduction" sheetId="9" r:id="rId1"/>
    <sheet name="P&amp;L" sheetId="2" r:id="rId2"/>
    <sheet name="Balance Sheet" sheetId="3" r:id="rId3"/>
    <sheet name="Cash Flow" sheetId="4" r:id="rId4"/>
    <sheet name="Relative valuation" sheetId="7" r:id="rId5"/>
    <sheet name="BS Analysis sheet" sheetId="5" r:id="rId6"/>
    <sheet name="P&amp;L Analysis sheet" sheetId="6" r:id="rId7"/>
    <sheet name="Funding plan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1" l="1"/>
  <c r="C15" i="11"/>
  <c r="N23" i="7"/>
  <c r="N24" i="7"/>
  <c r="O24" i="7" s="1"/>
  <c r="M25" i="7"/>
  <c r="D16" i="6"/>
  <c r="E16" i="6"/>
  <c r="G16" i="6"/>
  <c r="D13" i="6"/>
  <c r="E13" i="6"/>
  <c r="F13" i="6"/>
  <c r="G13" i="6"/>
  <c r="D10" i="6"/>
  <c r="E10" i="6"/>
  <c r="F10" i="6"/>
  <c r="G84" i="5"/>
  <c r="F16" i="6"/>
  <c r="C10" i="6"/>
  <c r="C13" i="6"/>
  <c r="C16" i="6"/>
  <c r="D6" i="6"/>
  <c r="E6" i="6"/>
  <c r="F6" i="6"/>
  <c r="G6" i="6"/>
  <c r="C6" i="6"/>
  <c r="D5" i="6"/>
  <c r="E5" i="6"/>
  <c r="F5" i="6"/>
  <c r="G5" i="6"/>
  <c r="C5" i="6"/>
  <c r="C6" i="11"/>
  <c r="C8" i="11"/>
  <c r="E42" i="6"/>
  <c r="E48" i="6" s="1"/>
  <c r="E53" i="6" s="1"/>
  <c r="F42" i="6"/>
  <c r="F48" i="6" s="1"/>
  <c r="F53" i="6" s="1"/>
  <c r="G42" i="6"/>
  <c r="G48" i="6" s="1"/>
  <c r="G53" i="6" s="1"/>
  <c r="D42" i="6"/>
  <c r="D48" i="6" s="1"/>
  <c r="D53" i="6" s="1"/>
  <c r="G27" i="6"/>
  <c r="F27" i="6"/>
  <c r="E27" i="6"/>
  <c r="D27" i="6"/>
  <c r="C27" i="6"/>
  <c r="C84" i="5"/>
  <c r="D84" i="5"/>
  <c r="E84" i="5"/>
  <c r="F84" i="5"/>
  <c r="J14" i="3"/>
  <c r="K14" i="3"/>
  <c r="C12" i="5"/>
  <c r="D12" i="5"/>
  <c r="E12" i="5"/>
  <c r="F12" i="5"/>
  <c r="G12" i="5"/>
  <c r="C40" i="5"/>
  <c r="D40" i="5"/>
  <c r="D78" i="5" s="1"/>
  <c r="E40" i="5"/>
  <c r="E78" i="5" s="1"/>
  <c r="F40" i="5"/>
  <c r="F78" i="5" s="1"/>
  <c r="G40" i="5"/>
  <c r="G78" i="5" s="1"/>
  <c r="C34" i="7"/>
  <c r="C33" i="7"/>
  <c r="C32" i="7"/>
  <c r="C35" i="7" s="1"/>
  <c r="D38" i="3"/>
  <c r="E38" i="3"/>
  <c r="F38" i="3"/>
  <c r="G38" i="3"/>
  <c r="C38" i="3"/>
  <c r="A1" i="11"/>
  <c r="A1" i="6"/>
  <c r="A1" i="5"/>
  <c r="A1" i="4"/>
  <c r="A1" i="3"/>
  <c r="M7" i="7"/>
  <c r="N7" i="7"/>
  <c r="M6" i="7"/>
  <c r="O6" i="7"/>
  <c r="M5" i="7"/>
  <c r="N5" i="7"/>
  <c r="O4" i="7"/>
  <c r="N4" i="7"/>
  <c r="M4" i="7"/>
  <c r="O5" i="7"/>
  <c r="O7" i="7"/>
  <c r="B24" i="6"/>
  <c r="B4" i="6"/>
  <c r="E4" i="6"/>
  <c r="E24" i="6"/>
  <c r="F4" i="6"/>
  <c r="F24" i="6"/>
  <c r="G4" i="6"/>
  <c r="G24" i="6"/>
  <c r="D4" i="6"/>
  <c r="D24" i="6"/>
  <c r="D5" i="3"/>
  <c r="E5" i="3"/>
  <c r="F5" i="3"/>
  <c r="G5" i="3"/>
  <c r="C5" i="3"/>
  <c r="C4" i="6"/>
  <c r="G5" i="5"/>
  <c r="F5" i="5"/>
  <c r="E5" i="5"/>
  <c r="D5" i="5"/>
  <c r="C5" i="5"/>
  <c r="G41" i="6"/>
  <c r="F41" i="6"/>
  <c r="E41" i="6"/>
  <c r="E47" i="6"/>
  <c r="E52" i="6"/>
  <c r="E58" i="6"/>
  <c r="F47" i="6"/>
  <c r="F52" i="6"/>
  <c r="F58" i="6"/>
  <c r="G47" i="6"/>
  <c r="G52" i="6"/>
  <c r="G58" i="6"/>
  <c r="C41" i="6"/>
  <c r="D41" i="6"/>
  <c r="D29" i="3"/>
  <c r="D12" i="3"/>
  <c r="E12" i="3"/>
  <c r="E20" i="3"/>
  <c r="E29" i="3"/>
  <c r="C12" i="3"/>
  <c r="C29" i="3"/>
  <c r="F29" i="3"/>
  <c r="F34" i="3" s="1"/>
  <c r="F39" i="3" s="1"/>
  <c r="F12" i="3"/>
  <c r="G29" i="3"/>
  <c r="G12" i="3"/>
  <c r="F8" i="2"/>
  <c r="G8" i="2"/>
  <c r="C8" i="2"/>
  <c r="D8" i="2"/>
  <c r="F12" i="2"/>
  <c r="E8" i="2"/>
  <c r="C47" i="6"/>
  <c r="D47" i="6"/>
  <c r="D52" i="6"/>
  <c r="D58" i="6"/>
  <c r="D20" i="3"/>
  <c r="D34" i="3"/>
  <c r="D39" i="3" s="1"/>
  <c r="D42" i="3" s="1"/>
  <c r="E34" i="3"/>
  <c r="E39" i="3"/>
  <c r="E42" i="3" s="1"/>
  <c r="G34" i="3"/>
  <c r="G39" i="3"/>
  <c r="C20" i="3"/>
  <c r="C34" i="3"/>
  <c r="C39" i="3"/>
  <c r="F20" i="3"/>
  <c r="G20" i="3"/>
  <c r="D12" i="2"/>
  <c r="C12" i="2"/>
  <c r="F16" i="2"/>
  <c r="F18" i="2" s="1"/>
  <c r="G12" i="2"/>
  <c r="E12" i="2"/>
  <c r="C16" i="2"/>
  <c r="C18" i="2" s="1"/>
  <c r="E16" i="2"/>
  <c r="E18" i="2" s="1"/>
  <c r="D16" i="2"/>
  <c r="D18" i="2" s="1"/>
  <c r="G16" i="2"/>
  <c r="G18" i="2" s="1"/>
  <c r="G85" i="5" s="1"/>
  <c r="C42" i="3"/>
  <c r="N6" i="7"/>
  <c r="O23" i="7" l="1"/>
  <c r="O25" i="7" s="1"/>
  <c r="N25" i="7"/>
  <c r="G10" i="6"/>
  <c r="C9" i="6"/>
  <c r="D9" i="6"/>
  <c r="E9" i="6"/>
  <c r="F9" i="6"/>
  <c r="G9" i="6"/>
  <c r="C54" i="5"/>
  <c r="C60" i="5" s="1"/>
  <c r="F54" i="5"/>
  <c r="F60" i="5" s="1"/>
  <c r="G54" i="5"/>
  <c r="G60" i="5" s="1"/>
  <c r="C30" i="5"/>
  <c r="E30" i="5"/>
  <c r="E35" i="5" s="1"/>
  <c r="E41" i="5" s="1"/>
  <c r="E79" i="5" s="1"/>
  <c r="F30" i="5"/>
  <c r="F35" i="5" s="1"/>
  <c r="F41" i="5" s="1"/>
  <c r="F79" i="5" s="1"/>
  <c r="G30" i="5"/>
  <c r="F42" i="3"/>
  <c r="G42" i="3"/>
  <c r="F70" i="5"/>
  <c r="D70" i="5"/>
  <c r="C70" i="5"/>
  <c r="G70" i="5"/>
  <c r="E70" i="5"/>
  <c r="G86" i="5"/>
  <c r="G87" i="5" s="1"/>
  <c r="G31" i="6"/>
  <c r="G7" i="6"/>
  <c r="F31" i="6"/>
  <c r="F34" i="6" s="1"/>
  <c r="F15" i="6" s="1"/>
  <c r="F7" i="6"/>
  <c r="E31" i="6"/>
  <c r="E7" i="6"/>
  <c r="D31" i="6"/>
  <c r="D7" i="6"/>
  <c r="C31" i="6"/>
  <c r="C7" i="6"/>
  <c r="C52" i="5"/>
  <c r="C58" i="5" s="1"/>
  <c r="C66" i="5"/>
  <c r="C69" i="5"/>
  <c r="D69" i="5"/>
  <c r="D52" i="5"/>
  <c r="D58" i="5" s="1"/>
  <c r="D66" i="5"/>
  <c r="E69" i="5"/>
  <c r="E52" i="5"/>
  <c r="E58" i="5" s="1"/>
  <c r="F52" i="5"/>
  <c r="F58" i="5" s="1"/>
  <c r="F69" i="5"/>
  <c r="G66" i="5"/>
  <c r="G69" i="5"/>
  <c r="G52" i="5"/>
  <c r="G58" i="5" s="1"/>
  <c r="D54" i="5"/>
  <c r="D60" i="5" s="1"/>
  <c r="E54" i="5"/>
  <c r="E60" i="5" s="1"/>
  <c r="D30" i="5"/>
  <c r="C20" i="5"/>
  <c r="C65" i="5" s="1"/>
  <c r="D20" i="5"/>
  <c r="D73" i="5" s="1"/>
  <c r="F66" i="5"/>
  <c r="E66" i="5"/>
  <c r="C17" i="11"/>
  <c r="C78" i="5"/>
  <c r="C71" i="5"/>
  <c r="C73" i="5"/>
  <c r="C74" i="5"/>
  <c r="C85" i="5"/>
  <c r="C86" i="5" s="1"/>
  <c r="C87" i="5" s="1"/>
  <c r="C19" i="2"/>
  <c r="C20" i="2"/>
  <c r="F71" i="5"/>
  <c r="F74" i="5"/>
  <c r="F73" i="5"/>
  <c r="F85" i="5"/>
  <c r="F86" i="5" s="1"/>
  <c r="F87" i="5" s="1"/>
  <c r="F20" i="2"/>
  <c r="F19" i="2"/>
  <c r="E71" i="5"/>
  <c r="E73" i="5"/>
  <c r="E74" i="5"/>
  <c r="E85" i="5"/>
  <c r="E86" i="5" s="1"/>
  <c r="E87" i="5" s="1"/>
  <c r="E20" i="2"/>
  <c r="E19" i="2"/>
  <c r="D71" i="5"/>
  <c r="D74" i="5"/>
  <c r="D85" i="5"/>
  <c r="D86" i="5" s="1"/>
  <c r="D87" i="5" s="1"/>
  <c r="D20" i="2"/>
  <c r="D19" i="2"/>
  <c r="G71" i="5"/>
  <c r="G73" i="5"/>
  <c r="G74" i="5"/>
  <c r="G20" i="2"/>
  <c r="G19" i="2"/>
  <c r="E45" i="5"/>
  <c r="E46" i="5"/>
  <c r="F45" i="5"/>
  <c r="F46" i="5"/>
  <c r="E20" i="5"/>
  <c r="F20" i="5"/>
  <c r="G20" i="5"/>
  <c r="N14" i="7"/>
  <c r="O14" i="7"/>
  <c r="O13" i="7"/>
  <c r="O12" i="7"/>
  <c r="O20" i="7" s="1"/>
  <c r="O22" i="7" s="1"/>
  <c r="O27" i="7" s="1"/>
  <c r="O29" i="7" s="1"/>
  <c r="O11" i="7"/>
  <c r="O10" i="7"/>
  <c r="O9" i="7"/>
  <c r="N13" i="7"/>
  <c r="N12" i="7"/>
  <c r="N20" i="7" s="1"/>
  <c r="N22" i="7" s="1"/>
  <c r="N27" i="7" s="1"/>
  <c r="N29" i="7" s="1"/>
  <c r="N11" i="7"/>
  <c r="N10" i="7"/>
  <c r="N9" i="7"/>
  <c r="M14" i="7"/>
  <c r="M12" i="7"/>
  <c r="M13" i="7"/>
  <c r="M11" i="7"/>
  <c r="M10" i="7"/>
  <c r="M9" i="7"/>
  <c r="E61" i="5" l="1"/>
  <c r="D65" i="5"/>
  <c r="D61" i="5"/>
  <c r="C61" i="5"/>
  <c r="F61" i="5"/>
  <c r="G61" i="5"/>
  <c r="G11" i="6"/>
  <c r="G34" i="6"/>
  <c r="G43" i="6"/>
  <c r="G54" i="6" s="1"/>
  <c r="G60" i="6" s="1"/>
  <c r="D11" i="6"/>
  <c r="D34" i="6"/>
  <c r="D43" i="6"/>
  <c r="D54" i="6" s="1"/>
  <c r="D60" i="6" s="1"/>
  <c r="G89" i="5"/>
  <c r="C35" i="5"/>
  <c r="C41" i="5" s="1"/>
  <c r="C79" i="5" s="1"/>
  <c r="C45" i="5"/>
  <c r="C46" i="5"/>
  <c r="G35" i="5"/>
  <c r="G41" i="5" s="1"/>
  <c r="G79" i="5" s="1"/>
  <c r="G45" i="5"/>
  <c r="G46" i="5"/>
  <c r="D35" i="5"/>
  <c r="D41" i="5" s="1"/>
  <c r="D79" i="5" s="1"/>
  <c r="D45" i="5"/>
  <c r="D46" i="5"/>
  <c r="E11" i="6"/>
  <c r="E34" i="6"/>
  <c r="E43" i="6"/>
  <c r="E54" i="6" s="1"/>
  <c r="E60" i="6" s="1"/>
  <c r="F11" i="6"/>
  <c r="F43" i="6"/>
  <c r="F54" i="6" s="1"/>
  <c r="F60" i="6" s="1"/>
  <c r="C11" i="6"/>
  <c r="C34" i="6"/>
  <c r="D44" i="6" s="1"/>
  <c r="D55" i="6" s="1"/>
  <c r="G65" i="5"/>
  <c r="G44" i="6"/>
  <c r="G55" i="6" s="1"/>
  <c r="F36" i="6"/>
  <c r="C89" i="5"/>
  <c r="F89" i="5"/>
  <c r="E89" i="5"/>
  <c r="D89" i="5"/>
  <c r="F65" i="5"/>
  <c r="E65" i="5"/>
  <c r="M20" i="7"/>
  <c r="M22" i="7"/>
  <c r="M27" i="7" s="1"/>
  <c r="M29" i="7" s="1"/>
  <c r="G15" i="6" l="1"/>
  <c r="G36" i="6"/>
  <c r="D15" i="6"/>
  <c r="D36" i="6"/>
  <c r="E44" i="6"/>
  <c r="E55" i="6" s="1"/>
  <c r="E36" i="6"/>
  <c r="E15" i="6"/>
  <c r="F44" i="6"/>
  <c r="F55" i="6" s="1"/>
  <c r="C15" i="6"/>
  <c r="C36" i="6"/>
  <c r="F38" i="6"/>
  <c r="F17" i="6"/>
  <c r="E38" i="6"/>
  <c r="E19" i="6" s="1"/>
  <c r="E17" i="6"/>
  <c r="G59" i="6"/>
  <c r="G61" i="6"/>
  <c r="E59" i="6"/>
  <c r="E61" i="6"/>
  <c r="D59" i="6"/>
  <c r="D61" i="6"/>
  <c r="G38" i="6" l="1"/>
  <c r="G17" i="6"/>
  <c r="D38" i="6"/>
  <c r="D17" i="6"/>
  <c r="E45" i="6"/>
  <c r="F59" i="6"/>
  <c r="F61" i="6"/>
  <c r="F19" i="6"/>
  <c r="F45" i="6"/>
  <c r="F56" i="6" s="1"/>
  <c r="C17" i="6"/>
  <c r="C38" i="6"/>
  <c r="D19" i="6"/>
  <c r="F49" i="6"/>
  <c r="G19" i="6" l="1"/>
  <c r="G45" i="6"/>
  <c r="E49" i="6"/>
  <c r="E56" i="6"/>
  <c r="G49" i="6"/>
  <c r="G56" i="6"/>
  <c r="C19" i="6"/>
  <c r="D45" i="6"/>
  <c r="D56" i="6" l="1"/>
  <c r="D49" i="6"/>
</calcChain>
</file>

<file path=xl/sharedStrings.xml><?xml version="1.0" encoding="utf-8"?>
<sst xmlns="http://schemas.openxmlformats.org/spreadsheetml/2006/main" count="284" uniqueCount="223">
  <si>
    <t>Particulars</t>
  </si>
  <si>
    <t>Net sales</t>
  </si>
  <si>
    <t>Cost of sales</t>
  </si>
  <si>
    <t xml:space="preserve">  Gross profit</t>
  </si>
  <si>
    <t>Selling, general and administrative expenses</t>
  </si>
  <si>
    <t>Other (income) expense, net</t>
  </si>
  <si>
    <t>EBIT</t>
  </si>
  <si>
    <t>Other finance charges</t>
  </si>
  <si>
    <t xml:space="preserve">Interest expense, net </t>
  </si>
  <si>
    <t>EBT</t>
  </si>
  <si>
    <t>Provision for income taxes</t>
  </si>
  <si>
    <t xml:space="preserve">  Net income including noncontrolling interests</t>
  </si>
  <si>
    <t>Less: Net income attributable to noncontrolling interests</t>
  </si>
  <si>
    <t>Earnings per common share, basic</t>
  </si>
  <si>
    <t>Earnings per common share, diluted</t>
  </si>
  <si>
    <t>Basic Weighted Average Shares</t>
  </si>
  <si>
    <t>Diluted Weighted Average Shares</t>
  </si>
  <si>
    <t xml:space="preserve">  Gross profit Margin</t>
  </si>
  <si>
    <t xml:space="preserve">  EBIT Margin</t>
  </si>
  <si>
    <t>Non-service related postretirement costs</t>
  </si>
  <si>
    <t>Income before income taxes (EBT Margin)</t>
  </si>
  <si>
    <t>Less: Net income attributable to noncontrolling interests (% of Net Income)</t>
  </si>
  <si>
    <t>Horizontal Analysis</t>
  </si>
  <si>
    <t>Trend Analysis</t>
  </si>
  <si>
    <t>Net Profit</t>
  </si>
  <si>
    <t>Business Risk</t>
  </si>
  <si>
    <t>Sales (% growth)</t>
  </si>
  <si>
    <t>Operating Profit (EBIT)  (% growth)</t>
  </si>
  <si>
    <t>Net Income  (% growth)</t>
  </si>
  <si>
    <t>Assets</t>
  </si>
  <si>
    <t>Current Assets</t>
  </si>
  <si>
    <t xml:space="preserve">  Cash and cash equivalents</t>
  </si>
  <si>
    <t xml:space="preserve">  Receivables</t>
  </si>
  <si>
    <t xml:space="preserve">  Inventories</t>
  </si>
  <si>
    <t xml:space="preserve">  Other current assets</t>
  </si>
  <si>
    <t xml:space="preserve">    Total current assets</t>
  </si>
  <si>
    <t>Property, plant and equipment, net</t>
  </si>
  <si>
    <t>ROU assets</t>
  </si>
  <si>
    <t>Goodwill</t>
  </si>
  <si>
    <t>Other intangible assets, net</t>
  </si>
  <si>
    <t>Deferred tax assets</t>
  </si>
  <si>
    <t>Other assets</t>
  </si>
  <si>
    <t>Total assets</t>
  </si>
  <si>
    <t>Liabilities and Shareholders' Equity</t>
  </si>
  <si>
    <t>Current Liabilities</t>
  </si>
  <si>
    <t xml:space="preserve">  Current portion of long-term debt</t>
  </si>
  <si>
    <t>Lease liabilities</t>
  </si>
  <si>
    <t xml:space="preserve">  Other accruals</t>
  </si>
  <si>
    <t>Revolver</t>
  </si>
  <si>
    <t>Long-term debt</t>
  </si>
  <si>
    <t>Deferred income taxes</t>
  </si>
  <si>
    <t>Other liabilities</t>
  </si>
  <si>
    <t>Total liabilities</t>
  </si>
  <si>
    <t>Shareholders' Equity</t>
  </si>
  <si>
    <t xml:space="preserve">  Total shareholders' equity</t>
  </si>
  <si>
    <t>Total liabilities and shareholders' equity</t>
  </si>
  <si>
    <t>Goodwill, net</t>
  </si>
  <si>
    <t xml:space="preserve">  Notes and loans payable </t>
  </si>
  <si>
    <t xml:space="preserve">  Lease Liabilities</t>
  </si>
  <si>
    <t xml:space="preserve">  Accounts payable</t>
  </si>
  <si>
    <t xml:space="preserve">  Accrued income taxes</t>
  </si>
  <si>
    <t xml:space="preserve">  Common stock</t>
  </si>
  <si>
    <t>Solvency Ratios</t>
  </si>
  <si>
    <t>Current ratio</t>
  </si>
  <si>
    <t>Quick ratio</t>
  </si>
  <si>
    <t>Turnover Ratios</t>
  </si>
  <si>
    <t>Inventory Turnover</t>
  </si>
  <si>
    <t>Days</t>
  </si>
  <si>
    <t>Average receivables collection period</t>
  </si>
  <si>
    <t>Average inventory processing period</t>
  </si>
  <si>
    <t>Average Payable Days (payment period)</t>
  </si>
  <si>
    <t>Cash Collection Cycle</t>
  </si>
  <si>
    <t>Operating Efficiency</t>
  </si>
  <si>
    <t>Total asset turnover (Sales / Average Assets)</t>
  </si>
  <si>
    <t>Net fixed asset turnover</t>
  </si>
  <si>
    <t>Operating Profitability</t>
  </si>
  <si>
    <t>Gross Profit Margin</t>
  </si>
  <si>
    <t>Operating Profit Margin</t>
  </si>
  <si>
    <t>Net Profit Margin</t>
  </si>
  <si>
    <t>Return on Total Assets</t>
  </si>
  <si>
    <t>Financial Risk Ratios</t>
  </si>
  <si>
    <t>Debt to equity ratio</t>
  </si>
  <si>
    <t>Dividend Payout Ratios</t>
  </si>
  <si>
    <t>Total Dividends Paid</t>
  </si>
  <si>
    <t>Net Income</t>
  </si>
  <si>
    <t>Dividend Payout Ratio</t>
  </si>
  <si>
    <t>Retention Ratio</t>
  </si>
  <si>
    <t>Operating Activities</t>
  </si>
  <si>
    <t>Income tax</t>
  </si>
  <si>
    <t>Depreciation and amortization</t>
  </si>
  <si>
    <t>Interest and dividend income</t>
  </si>
  <si>
    <t>Finance cost</t>
  </si>
  <si>
    <t>Loss on impairment Financial instruments</t>
  </si>
  <si>
    <t xml:space="preserve">Cash effects of changes in: </t>
  </si>
  <si>
    <t>Net cash provided by operations</t>
  </si>
  <si>
    <t>Investing Activities</t>
  </si>
  <si>
    <t xml:space="preserve">  </t>
  </si>
  <si>
    <t>Net cash used in investing activities</t>
  </si>
  <si>
    <t>Financing Activities</t>
  </si>
  <si>
    <t>Net cash used in financing activities</t>
  </si>
  <si>
    <t>Effect of exchange rate changes on Cash and cash equivalents</t>
  </si>
  <si>
    <t>Net increase (decrease) in Cash and cash equivalents</t>
  </si>
  <si>
    <t>Cash and cash equivalents at beginning of year</t>
  </si>
  <si>
    <t>Cash and cash equivalents at end of year</t>
  </si>
  <si>
    <t>Total Check</t>
  </si>
  <si>
    <t xml:space="preserve">  Reserves and Surplus</t>
  </si>
  <si>
    <t>Adjustments to reconcile net profit to cash generated from operations:</t>
  </si>
  <si>
    <t>Sales (in Rs.)</t>
  </si>
  <si>
    <t>Net Profit (in Rs.)</t>
  </si>
  <si>
    <t>Sales (in Trend %)</t>
  </si>
  <si>
    <t>Net Profit (in Trend %)</t>
  </si>
  <si>
    <t>Growth</t>
  </si>
  <si>
    <t xml:space="preserve">  Net income margin including noncontrolling interests</t>
  </si>
  <si>
    <t xml:space="preserve">  Net income margin</t>
  </si>
  <si>
    <t>Jarvis consulting Corp.</t>
  </si>
  <si>
    <t>Market data</t>
  </si>
  <si>
    <t>Financials</t>
  </si>
  <si>
    <t>Valuation</t>
  </si>
  <si>
    <t>S.No.</t>
  </si>
  <si>
    <t>Company</t>
  </si>
  <si>
    <t>EV Rs.Cr.</t>
  </si>
  <si>
    <t>CMP Rs.</t>
  </si>
  <si>
    <t>Shares outstanding</t>
  </si>
  <si>
    <t>Equity value</t>
  </si>
  <si>
    <t>Revenue Rs. Cr.</t>
  </si>
  <si>
    <t>EBITDA Rs.Cr.</t>
  </si>
  <si>
    <t>EBIT Rs.Cr.</t>
  </si>
  <si>
    <t>Price / Revenue</t>
  </si>
  <si>
    <t>EV / EBITDA</t>
  </si>
  <si>
    <t>EV / EBIT</t>
  </si>
  <si>
    <t>High</t>
  </si>
  <si>
    <t>75th percentile</t>
  </si>
  <si>
    <t>Average</t>
  </si>
  <si>
    <t>Median</t>
  </si>
  <si>
    <t>25th percentile</t>
  </si>
  <si>
    <t>Low</t>
  </si>
  <si>
    <t>Haway consulting</t>
  </si>
  <si>
    <t>Leap consulting</t>
  </si>
  <si>
    <t>Trance consultants</t>
  </si>
  <si>
    <t>Capital expenditure requirements</t>
  </si>
  <si>
    <t>(Rs. Crores)</t>
  </si>
  <si>
    <t>Less- Cash generated from operating activities</t>
  </si>
  <si>
    <t>Reduction in fair value disposal group held for sale</t>
  </si>
  <si>
    <t>Impairment loss on reclassification from "Held for Sale"</t>
  </si>
  <si>
    <t>Exchange differences on translation</t>
  </si>
  <si>
    <t>Stock compensation expense</t>
  </si>
  <si>
    <t>Other adjustments</t>
  </si>
  <si>
    <t>Trade receivables and Unbilled revenue</t>
  </si>
  <si>
    <t>Loans, other financial assets and other assets</t>
  </si>
  <si>
    <t>Trade payables</t>
  </si>
  <si>
    <t>Other financial liabilities, other liabilities and provisions</t>
  </si>
  <si>
    <t>Cash generated from operations</t>
  </si>
  <si>
    <t>Income taxes paid</t>
  </si>
  <si>
    <t>Expenditure on PPE and intangibles</t>
  </si>
  <si>
    <t>Corporate Deposits placed</t>
  </si>
  <si>
    <t>Loans to employees</t>
  </si>
  <si>
    <t>Corporate Depsits redeemed</t>
  </si>
  <si>
    <t>Interest and Dividend received</t>
  </si>
  <si>
    <t>Business acquisition, net of cash</t>
  </si>
  <si>
    <t>Contingent consideration on business acquisition</t>
  </si>
  <si>
    <t>Advance consideration on business acquisition</t>
  </si>
  <si>
    <t>Escrow deposits for buyback</t>
  </si>
  <si>
    <t>Redemption of escrow deposits for buyback</t>
  </si>
  <si>
    <t>Other receipts</t>
  </si>
  <si>
    <t>Other payments</t>
  </si>
  <si>
    <t>Purchase of investments</t>
  </si>
  <si>
    <t>Sale of investments</t>
  </si>
  <si>
    <t>Payments of lease liabilities</t>
  </si>
  <si>
    <t>Payments of dividends</t>
  </si>
  <si>
    <t>Payments of dividends to Non controlling interest</t>
  </si>
  <si>
    <t>Shares issued on exercise of ESO</t>
  </si>
  <si>
    <t>Purchase of Minority interest</t>
  </si>
  <si>
    <t>Buyback of equity securities</t>
  </si>
  <si>
    <t>Funding to be raised</t>
  </si>
  <si>
    <t>Amount</t>
  </si>
  <si>
    <t>Debt</t>
  </si>
  <si>
    <t>Equity</t>
  </si>
  <si>
    <t>Total financing</t>
  </si>
  <si>
    <t>Winners consulting</t>
  </si>
  <si>
    <t xml:space="preserve">  Net income</t>
  </si>
  <si>
    <t>Effective Tax Rates (Taxes/EBIT)</t>
  </si>
  <si>
    <t>Sustainable Growth (Return on equity*Retention ratio)</t>
  </si>
  <si>
    <t>Gross profit</t>
  </si>
  <si>
    <t>Cash and cash equivalents</t>
  </si>
  <si>
    <t>Receivables</t>
  </si>
  <si>
    <t>Inventories</t>
  </si>
  <si>
    <t>Other current assets</t>
  </si>
  <si>
    <t>Total current assets</t>
  </si>
  <si>
    <t xml:space="preserve">Loans payable </t>
  </si>
  <si>
    <t>Trade payable</t>
  </si>
  <si>
    <t>Income tax liabilities</t>
  </si>
  <si>
    <t>Other accruals</t>
  </si>
  <si>
    <t>Total current liabilities</t>
  </si>
  <si>
    <t>Reserves and surplus</t>
  </si>
  <si>
    <t>Equity share capital</t>
  </si>
  <si>
    <t>Total shareholders' equity</t>
  </si>
  <si>
    <t>Return on Equity</t>
  </si>
  <si>
    <t>Valuation of Jarvis consulting corporation</t>
  </si>
  <si>
    <t xml:space="preserve">Jarvis consulting </t>
  </si>
  <si>
    <t>Enterprise value (Debt &amp; Equity valuation)</t>
  </si>
  <si>
    <t>Add - Cash of Jarvis consulting</t>
  </si>
  <si>
    <t>Equity value (Market capitalisation)</t>
  </si>
  <si>
    <t>Share value</t>
  </si>
  <si>
    <t>FY 19</t>
  </si>
  <si>
    <t>FY 20</t>
  </si>
  <si>
    <t>FY 21</t>
  </si>
  <si>
    <t>FY 22</t>
  </si>
  <si>
    <t>FY 23</t>
  </si>
  <si>
    <t>FY 24</t>
  </si>
  <si>
    <t>Debtors turnover</t>
  </si>
  <si>
    <t>Creditors turnover</t>
  </si>
  <si>
    <t>COGS (in Rs.)</t>
  </si>
  <si>
    <t>Debt to total assets ratio</t>
  </si>
  <si>
    <t>EBT  (% growth)</t>
  </si>
  <si>
    <t>Financial Leverage {EBT(% growth) / EBIT(% growth)}</t>
  </si>
  <si>
    <t>Operating Leverage {EBIT(% growth) /Sales(% growth)}</t>
  </si>
  <si>
    <t>Operating Profit EBIT (in Rs.)</t>
  </si>
  <si>
    <t>EBT (in Rs.)</t>
  </si>
  <si>
    <t>Total Leverage {EBT(% growth) / Sales(% growth)}</t>
  </si>
  <si>
    <t>Less - Gross debt of Jarvis consulting</t>
  </si>
  <si>
    <t>Gross Debt Calculation (FY23)</t>
  </si>
  <si>
    <t>Loans payable</t>
  </si>
  <si>
    <t>Total Gross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</si>
</sst>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&quot;A&quot;"/>
    <numFmt numFmtId="167" formatCode="[$-409]mmm\-yy;@"/>
    <numFmt numFmtId="168" formatCode="_(* #,##0_);_(* \(#,##0\);_(* &quot;-&quot;??_);_(@_)"/>
    <numFmt numFmtId="169" formatCode="_(* #,##0.0_);_(* \(#,##0.0\);_(* &quot;-&quot;??_);_(@_)"/>
    <numFmt numFmtId="170" formatCode="0.0%"/>
    <numFmt numFmtId="171" formatCode="0.00\x"/>
    <numFmt numFmtId="172" formatCode=".00\x"/>
    <numFmt numFmtId="173" formatCode="_(&quot;$&quot;* #,##0_);_(&quot;$&quot;* \(#,##0\);_(&quot;$&quot;* &quot;-&quot;??_);_(@_)"/>
    <numFmt numFmtId="174" formatCode="#,##0.0_);\(#,##0.0\)"/>
    <numFmt numFmtId="175" formatCode="0.0"/>
    <numFmt numFmtId="176" formatCode="0.0&quot;x&quot;"/>
    <numFmt numFmtId="177" formatCode="0&quot;F&quot;"/>
    <numFmt numFmtId="178" formatCode="0.000"/>
    <numFmt numFmtId="179" formatCode="#,##0;\(#,##0\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C4E54"/>
      <name val="Arial"/>
      <family val="2"/>
    </font>
    <font>
      <sz val="11"/>
      <color theme="1"/>
      <name val="Arial"/>
      <family val="2"/>
    </font>
    <font>
      <b/>
      <sz val="11"/>
      <color rgb="FF0C4E54"/>
      <name val="Arial"/>
      <family val="2"/>
    </font>
    <font>
      <b/>
      <u/>
      <sz val="12"/>
      <color rgb="FF0C4E54"/>
      <name val="Arial"/>
      <family val="2"/>
    </font>
    <font>
      <sz val="11"/>
      <color indexed="8"/>
      <name val="Calibri"/>
      <family val="2"/>
    </font>
    <font>
      <b/>
      <u/>
      <sz val="11"/>
      <color rgb="FF00B0F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0070C0"/>
      <name val="Arial"/>
      <family val="2"/>
    </font>
    <font>
      <b/>
      <u/>
      <sz val="11"/>
      <color rgb="FF0C4E54"/>
      <name val="Arial"/>
      <family val="2"/>
    </font>
    <font>
      <sz val="11"/>
      <color rgb="FF0C4E54"/>
      <name val="Arial"/>
      <family val="2"/>
    </font>
    <font>
      <b/>
      <sz val="12"/>
      <color rgb="FF0C4E54"/>
      <name val="Arial"/>
      <family val="2"/>
    </font>
    <font>
      <sz val="10"/>
      <color rgb="FF0C4E54"/>
      <name val="Arial"/>
      <family val="2"/>
    </font>
    <font>
      <sz val="9"/>
      <color rgb="FF0C4E54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rgb="FF0C4E54"/>
      <name val="Arial"/>
      <family val="2"/>
    </font>
    <font>
      <sz val="9"/>
      <color rgb="FF0070C0"/>
      <name val="Arial"/>
      <family val="2"/>
    </font>
    <font>
      <b/>
      <sz val="10"/>
      <color rgb="FF0C4E54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F0"/>
      <name val="Arial"/>
      <family val="2"/>
    </font>
    <font>
      <i/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22222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</cellStyleXfs>
  <cellXfs count="20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quotePrefix="1" applyFont="1" applyAlignment="1">
      <alignment horizontal="left"/>
    </xf>
    <xf numFmtId="168" fontId="5" fillId="0" borderId="0" xfId="0" applyNumberFormat="1" applyFont="1"/>
    <xf numFmtId="0" fontId="11" fillId="0" borderId="0" xfId="0" applyFont="1" applyAlignment="1">
      <alignment horizontal="left" vertical="top" indent="2"/>
    </xf>
    <xf numFmtId="0" fontId="12" fillId="0" borderId="0" xfId="0" applyFont="1" applyAlignment="1">
      <alignment horizontal="left" vertical="top" indent="2"/>
    </xf>
    <xf numFmtId="0" fontId="10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6" fillId="0" borderId="0" xfId="0" applyFont="1"/>
    <xf numFmtId="0" fontId="11" fillId="0" borderId="0" xfId="4"/>
    <xf numFmtId="0" fontId="17" fillId="0" borderId="0" xfId="4" applyFont="1"/>
    <xf numFmtId="0" fontId="17" fillId="0" borderId="0" xfId="0" applyFont="1"/>
    <xf numFmtId="0" fontId="18" fillId="0" borderId="0" xfId="0" applyFont="1"/>
    <xf numFmtId="0" fontId="19" fillId="0" borderId="0" xfId="4" applyFont="1"/>
    <xf numFmtId="0" fontId="20" fillId="0" borderId="0" xfId="4" applyFont="1"/>
    <xf numFmtId="0" fontId="19" fillId="0" borderId="0" xfId="4" applyFont="1" applyAlignment="1">
      <alignment horizontal="left" indent="2"/>
    </xf>
    <xf numFmtId="0" fontId="19" fillId="0" borderId="3" xfId="4" applyFont="1" applyBorder="1"/>
    <xf numFmtId="0" fontId="21" fillId="0" borderId="0" xfId="0" applyFont="1"/>
    <xf numFmtId="0" fontId="22" fillId="0" borderId="0" xfId="0" applyFont="1" applyAlignment="1">
      <alignment horizontal="left" indent="2"/>
    </xf>
    <xf numFmtId="166" fontId="20" fillId="0" borderId="1" xfId="0" applyNumberFormat="1" applyFont="1" applyBorder="1" applyAlignment="1">
      <alignment horizontal="center"/>
    </xf>
    <xf numFmtId="173" fontId="19" fillId="0" borderId="0" xfId="5" applyNumberFormat="1" applyFont="1" applyFill="1"/>
    <xf numFmtId="174" fontId="19" fillId="0" borderId="0" xfId="4" applyNumberFormat="1" applyFont="1"/>
    <xf numFmtId="37" fontId="19" fillId="0" borderId="0" xfId="4" applyNumberFormat="1" applyFont="1"/>
    <xf numFmtId="37" fontId="23" fillId="0" borderId="0" xfId="4" applyNumberFormat="1" applyFont="1"/>
    <xf numFmtId="37" fontId="19" fillId="0" borderId="3" xfId="4" applyNumberFormat="1" applyFont="1" applyBorder="1"/>
    <xf numFmtId="37" fontId="23" fillId="0" borderId="2" xfId="4" applyNumberFormat="1" applyFont="1" applyBorder="1"/>
    <xf numFmtId="173" fontId="23" fillId="0" borderId="0" xfId="4" applyNumberFormat="1" applyFont="1"/>
    <xf numFmtId="174" fontId="20" fillId="0" borderId="0" xfId="4" applyNumberFormat="1" applyFont="1"/>
    <xf numFmtId="0" fontId="16" fillId="0" borderId="0" xfId="0" applyFont="1"/>
    <xf numFmtId="0" fontId="24" fillId="0" borderId="0" xfId="0" applyFont="1" applyAlignment="1">
      <alignment horizontal="left" indent="2"/>
    </xf>
    <xf numFmtId="0" fontId="25" fillId="0" borderId="1" xfId="0" applyFont="1" applyBorder="1"/>
    <xf numFmtId="166" fontId="10" fillId="0" borderId="1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0" fontId="10" fillId="0" borderId="0" xfId="0" applyFont="1"/>
    <xf numFmtId="0" fontId="26" fillId="0" borderId="0" xfId="0" applyFont="1"/>
    <xf numFmtId="0" fontId="11" fillId="0" borderId="0" xfId="0" applyFont="1"/>
    <xf numFmtId="0" fontId="11" fillId="0" borderId="0" xfId="0" quotePrefix="1" applyFont="1" applyAlignment="1">
      <alignment horizontal="left"/>
    </xf>
    <xf numFmtId="168" fontId="27" fillId="0" borderId="0" xfId="1" applyNumberFormat="1" applyFont="1" applyFill="1" applyAlignment="1"/>
    <xf numFmtId="168" fontId="27" fillId="0" borderId="0" xfId="1" quotePrefix="1" applyNumberFormat="1" applyFont="1" applyFill="1" applyAlignment="1">
      <alignment horizontal="left"/>
    </xf>
    <xf numFmtId="168" fontId="11" fillId="0" borderId="0" xfId="1" applyNumberFormat="1" applyFont="1" applyFill="1" applyAlignment="1"/>
    <xf numFmtId="168" fontId="11" fillId="0" borderId="0" xfId="1" applyNumberFormat="1" applyFont="1" applyFill="1"/>
    <xf numFmtId="0" fontId="11" fillId="0" borderId="0" xfId="0" quotePrefix="1" applyFont="1" applyAlignment="1">
      <alignment horizontal="left" wrapText="1" indent="4"/>
    </xf>
    <xf numFmtId="0" fontId="11" fillId="0" borderId="1" xfId="0" applyFont="1" applyBorder="1"/>
    <xf numFmtId="168" fontId="11" fillId="0" borderId="1" xfId="1" applyNumberFormat="1" applyFont="1" applyFill="1" applyBorder="1" applyAlignment="1"/>
    <xf numFmtId="168" fontId="11" fillId="0" borderId="1" xfId="1" applyNumberFormat="1" applyFont="1" applyFill="1" applyBorder="1"/>
    <xf numFmtId="168" fontId="10" fillId="0" borderId="0" xfId="1" applyNumberFormat="1" applyFont="1" applyFill="1"/>
    <xf numFmtId="168" fontId="27" fillId="0" borderId="0" xfId="1" applyNumberFormat="1" applyFont="1" applyFill="1" applyBorder="1" applyAlignment="1"/>
    <xf numFmtId="168" fontId="11" fillId="0" borderId="4" xfId="1" applyNumberFormat="1" applyFont="1" applyFill="1" applyBorder="1" applyAlignment="1">
      <alignment horizontal="left"/>
    </xf>
    <xf numFmtId="168" fontId="26" fillId="0" borderId="0" xfId="0" applyNumberFormat="1" applyFont="1"/>
    <xf numFmtId="170" fontId="11" fillId="0" borderId="0" xfId="2" applyNumberFormat="1" applyFont="1" applyFill="1" applyAlignment="1"/>
    <xf numFmtId="167" fontId="10" fillId="0" borderId="0" xfId="0" applyNumberFormat="1" applyFont="1"/>
    <xf numFmtId="0" fontId="28" fillId="2" borderId="0" xfId="0" applyFont="1" applyFill="1"/>
    <xf numFmtId="0" fontId="26" fillId="2" borderId="0" xfId="0" applyFont="1" applyFill="1"/>
    <xf numFmtId="172" fontId="26" fillId="0" borderId="0" xfId="1" applyNumberFormat="1" applyFont="1" applyBorder="1"/>
    <xf numFmtId="172" fontId="26" fillId="0" borderId="0" xfId="1" applyNumberFormat="1" applyFont="1"/>
    <xf numFmtId="169" fontId="26" fillId="0" borderId="0" xfId="1" applyNumberFormat="1" applyFont="1"/>
    <xf numFmtId="170" fontId="26" fillId="0" borderId="0" xfId="2" applyNumberFormat="1" applyFont="1"/>
    <xf numFmtId="0" fontId="28" fillId="0" borderId="0" xfId="0" applyFont="1"/>
    <xf numFmtId="0" fontId="30" fillId="0" borderId="0" xfId="0" quotePrefix="1" applyFont="1" applyAlignment="1">
      <alignment horizontal="left"/>
    </xf>
    <xf numFmtId="0" fontId="10" fillId="0" borderId="1" xfId="0" applyFont="1" applyBorder="1"/>
    <xf numFmtId="0" fontId="10" fillId="0" borderId="0" xfId="0" quotePrefix="1" applyFont="1" applyAlignment="1">
      <alignment horizontal="left"/>
    </xf>
    <xf numFmtId="37" fontId="27" fillId="0" borderId="0" xfId="0" applyNumberFormat="1" applyFont="1" applyAlignment="1">
      <alignment vertical="top"/>
    </xf>
    <xf numFmtId="0" fontId="32" fillId="0" borderId="0" xfId="0" applyFont="1"/>
    <xf numFmtId="0" fontId="10" fillId="0" borderId="4" xfId="0" quotePrefix="1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8" fillId="0" borderId="4" xfId="0" applyFont="1" applyBorder="1"/>
    <xf numFmtId="0" fontId="10" fillId="0" borderId="4" xfId="0" quotePrefix="1" applyFont="1" applyBorder="1" applyAlignment="1">
      <alignment wrapText="1"/>
    </xf>
    <xf numFmtId="0" fontId="11" fillId="0" borderId="4" xfId="0" applyFont="1" applyBorder="1" applyAlignment="1">
      <alignment horizontal="left"/>
    </xf>
    <xf numFmtId="174" fontId="23" fillId="0" borderId="0" xfId="4" applyNumberFormat="1" applyFont="1"/>
    <xf numFmtId="0" fontId="3" fillId="3" borderId="0" xfId="0" applyFont="1" applyFill="1" applyAlignment="1">
      <alignment horizontal="centerContinuous"/>
    </xf>
    <xf numFmtId="165" fontId="0" fillId="0" borderId="0" xfId="1" applyFont="1"/>
    <xf numFmtId="0" fontId="0" fillId="6" borderId="14" xfId="0" applyFill="1" applyBorder="1"/>
    <xf numFmtId="175" fontId="0" fillId="6" borderId="14" xfId="0" applyNumberFormat="1" applyFill="1" applyBorder="1"/>
    <xf numFmtId="165" fontId="0" fillId="6" borderId="14" xfId="1" applyFont="1" applyFill="1" applyBorder="1"/>
    <xf numFmtId="176" fontId="0" fillId="6" borderId="14" xfId="0" applyNumberFormat="1" applyFill="1" applyBorder="1"/>
    <xf numFmtId="0" fontId="2" fillId="6" borderId="14" xfId="0" applyFont="1" applyFill="1" applyBorder="1"/>
    <xf numFmtId="175" fontId="2" fillId="6" borderId="14" xfId="0" applyNumberFormat="1" applyFont="1" applyFill="1" applyBorder="1"/>
    <xf numFmtId="165" fontId="2" fillId="6" borderId="14" xfId="1" applyFont="1" applyFill="1" applyBorder="1"/>
    <xf numFmtId="176" fontId="2" fillId="6" borderId="14" xfId="0" applyNumberFormat="1" applyFont="1" applyFill="1" applyBorder="1"/>
    <xf numFmtId="9" fontId="20" fillId="0" borderId="0" xfId="2" applyFont="1" applyFill="1" applyBorder="1"/>
    <xf numFmtId="0" fontId="33" fillId="0" borderId="0" xfId="0" applyFont="1"/>
    <xf numFmtId="177" fontId="20" fillId="0" borderId="1" xfId="0" applyNumberFormat="1" applyFont="1" applyBorder="1" applyAlignment="1">
      <alignment horizontal="center"/>
    </xf>
    <xf numFmtId="168" fontId="19" fillId="0" borderId="0" xfId="1" applyNumberFormat="1" applyFont="1"/>
    <xf numFmtId="168" fontId="0" fillId="0" borderId="4" xfId="0" applyNumberFormat="1" applyBorder="1"/>
    <xf numFmtId="177" fontId="20" fillId="0" borderId="1" xfId="0" applyNumberFormat="1" applyFont="1" applyBorder="1" applyAlignment="1">
      <alignment horizontal="left"/>
    </xf>
    <xf numFmtId="0" fontId="20" fillId="0" borderId="4" xfId="4" applyFont="1" applyBorder="1"/>
    <xf numFmtId="168" fontId="27" fillId="0" borderId="0" xfId="1" applyNumberFormat="1" applyFont="1" applyFill="1" applyAlignment="1">
      <alignment horizontal="center"/>
    </xf>
    <xf numFmtId="168" fontId="27" fillId="0" borderId="2" xfId="1" applyNumberFormat="1" applyFont="1" applyFill="1" applyBorder="1" applyAlignment="1">
      <alignment horizontal="center"/>
    </xf>
    <xf numFmtId="168" fontId="11" fillId="0" borderId="0" xfId="1" quotePrefix="1" applyNumberFormat="1" applyFont="1" applyFill="1" applyBorder="1" applyAlignment="1">
      <alignment horizontal="center"/>
    </xf>
    <xf numFmtId="168" fontId="11" fillId="0" borderId="0" xfId="1" applyNumberFormat="1" applyFont="1" applyFill="1" applyAlignment="1">
      <alignment horizontal="center"/>
    </xf>
    <xf numFmtId="168" fontId="11" fillId="0" borderId="3" xfId="1" applyNumberFormat="1" applyFont="1" applyFill="1" applyBorder="1" applyAlignment="1">
      <alignment horizontal="center"/>
    </xf>
    <xf numFmtId="168" fontId="27" fillId="0" borderId="0" xfId="1" applyNumberFormat="1" applyFont="1" applyFill="1" applyBorder="1" applyAlignment="1">
      <alignment horizontal="center"/>
    </xf>
    <xf numFmtId="165" fontId="27" fillId="0" borderId="4" xfId="1" applyFont="1" applyFill="1" applyBorder="1" applyAlignment="1">
      <alignment horizontal="center"/>
    </xf>
    <xf numFmtId="165" fontId="27" fillId="0" borderId="1" xfId="1" applyFont="1" applyFill="1" applyBorder="1" applyAlignment="1">
      <alignment horizontal="center"/>
    </xf>
    <xf numFmtId="165" fontId="27" fillId="0" borderId="0" xfId="1" applyFont="1" applyFill="1" applyBorder="1" applyAlignment="1">
      <alignment horizontal="center"/>
    </xf>
    <xf numFmtId="169" fontId="27" fillId="0" borderId="0" xfId="3" applyNumberFormat="1" applyFont="1" applyAlignment="1">
      <alignment horizontal="center"/>
    </xf>
    <xf numFmtId="165" fontId="29" fillId="0" borderId="0" xfId="1" applyFont="1" applyFill="1" applyAlignment="1">
      <alignment horizontal="center"/>
    </xf>
    <xf numFmtId="168" fontId="27" fillId="0" borderId="0" xfId="1" applyNumberFormat="1" applyFont="1" applyFill="1" applyAlignment="1">
      <alignment horizontal="center" vertical="center"/>
    </xf>
    <xf numFmtId="168" fontId="27" fillId="0" borderId="2" xfId="1" applyNumberFormat="1" applyFont="1" applyFill="1" applyBorder="1" applyAlignment="1">
      <alignment horizontal="center" vertical="center"/>
    </xf>
    <xf numFmtId="168" fontId="11" fillId="0" borderId="0" xfId="1" quotePrefix="1" applyNumberFormat="1" applyFont="1" applyFill="1" applyBorder="1" applyAlignment="1">
      <alignment horizontal="center" vertical="center"/>
    </xf>
    <xf numFmtId="168" fontId="11" fillId="0" borderId="0" xfId="1" applyNumberFormat="1" applyFont="1" applyFill="1" applyAlignment="1">
      <alignment horizontal="center" vertical="center"/>
    </xf>
    <xf numFmtId="168" fontId="11" fillId="0" borderId="3" xfId="1" applyNumberFormat="1" applyFont="1" applyFill="1" applyBorder="1" applyAlignment="1">
      <alignment horizontal="center" vertical="center"/>
    </xf>
    <xf numFmtId="168" fontId="27" fillId="0" borderId="0" xfId="1" applyNumberFormat="1" applyFont="1" applyFill="1" applyBorder="1" applyAlignment="1">
      <alignment horizontal="center" vertical="center"/>
    </xf>
    <xf numFmtId="165" fontId="27" fillId="0" borderId="4" xfId="1" applyFont="1" applyFill="1" applyBorder="1" applyAlignment="1">
      <alignment horizontal="center" vertical="center"/>
    </xf>
    <xf numFmtId="165" fontId="27" fillId="0" borderId="1" xfId="1" applyFont="1" applyFill="1" applyBorder="1" applyAlignment="1">
      <alignment horizontal="center" vertical="center"/>
    </xf>
    <xf numFmtId="165" fontId="27" fillId="0" borderId="0" xfId="1" applyFont="1" applyFill="1" applyBorder="1" applyAlignment="1">
      <alignment horizontal="center" vertical="center"/>
    </xf>
    <xf numFmtId="169" fontId="27" fillId="0" borderId="0" xfId="3" applyNumberFormat="1" applyFont="1" applyAlignment="1">
      <alignment horizontal="center" vertical="center"/>
    </xf>
    <xf numFmtId="165" fontId="29" fillId="0" borderId="0" xfId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34" fillId="4" borderId="4" xfId="0" quotePrefix="1" applyFont="1" applyFill="1" applyBorder="1" applyAlignment="1">
      <alignment horizontal="left"/>
    </xf>
    <xf numFmtId="168" fontId="34" fillId="4" borderId="4" xfId="1" quotePrefix="1" applyNumberFormat="1" applyFont="1" applyFill="1" applyBorder="1" applyAlignment="1">
      <alignment horizontal="right"/>
    </xf>
    <xf numFmtId="168" fontId="34" fillId="4" borderId="4" xfId="1" quotePrefix="1" applyNumberFormat="1" applyFont="1" applyFill="1" applyBorder="1" applyAlignment="1">
      <alignment horizontal="left"/>
    </xf>
    <xf numFmtId="0" fontId="34" fillId="4" borderId="4" xfId="0" quotePrefix="1" applyFont="1" applyFill="1" applyBorder="1" applyAlignment="1">
      <alignment wrapText="1"/>
    </xf>
    <xf numFmtId="168" fontId="34" fillId="4" borderId="4" xfId="1" applyNumberFormat="1" applyFont="1" applyFill="1" applyBorder="1" applyAlignment="1"/>
    <xf numFmtId="0" fontId="34" fillId="7" borderId="4" xfId="0" quotePrefix="1" applyFont="1" applyFill="1" applyBorder="1" applyAlignment="1">
      <alignment wrapText="1"/>
    </xf>
    <xf numFmtId="168" fontId="34" fillId="7" borderId="4" xfId="1" applyNumberFormat="1" applyFont="1" applyFill="1" applyBorder="1" applyAlignment="1"/>
    <xf numFmtId="37" fontId="35" fillId="4" borderId="4" xfId="4" applyNumberFormat="1" applyFont="1" applyFill="1" applyBorder="1"/>
    <xf numFmtId="173" fontId="34" fillId="7" borderId="5" xfId="5" applyNumberFormat="1" applyFont="1" applyFill="1" applyBorder="1"/>
    <xf numFmtId="0" fontId="36" fillId="4" borderId="0" xfId="0" applyFont="1" applyFill="1"/>
    <xf numFmtId="0" fontId="37" fillId="4" borderId="2" xfId="0" applyFont="1" applyFill="1" applyBorder="1" applyAlignment="1">
      <alignment horizontal="centerContinuous"/>
    </xf>
    <xf numFmtId="165" fontId="37" fillId="4" borderId="2" xfId="1" applyFont="1" applyFill="1" applyBorder="1" applyAlignment="1">
      <alignment horizontal="centerContinuous"/>
    </xf>
    <xf numFmtId="0" fontId="36" fillId="0" borderId="0" xfId="0" applyFont="1"/>
    <xf numFmtId="0" fontId="37" fillId="4" borderId="0" xfId="0" applyFont="1" applyFill="1" applyAlignment="1">
      <alignment horizontal="centerContinuous"/>
    </xf>
    <xf numFmtId="165" fontId="37" fillId="4" borderId="0" xfId="1" applyFont="1" applyFill="1" applyAlignment="1">
      <alignment horizontal="centerContinuous"/>
    </xf>
    <xf numFmtId="0" fontId="38" fillId="4" borderId="13" xfId="0" applyFont="1" applyFill="1" applyBorder="1" applyAlignment="1">
      <alignment horizontal="left" vertical="center"/>
    </xf>
    <xf numFmtId="0" fontId="38" fillId="4" borderId="13" xfId="0" applyFont="1" applyFill="1" applyBorder="1" applyAlignment="1">
      <alignment horizontal="right" vertical="center" wrapText="1"/>
    </xf>
    <xf numFmtId="165" fontId="38" fillId="4" borderId="13" xfId="1" applyFont="1" applyFill="1" applyBorder="1" applyAlignment="1">
      <alignment horizontal="right" vertical="center" wrapText="1"/>
    </xf>
    <xf numFmtId="0" fontId="39" fillId="5" borderId="13" xfId="0" applyFont="1" applyFill="1" applyBorder="1" applyAlignment="1">
      <alignment horizontal="left" vertical="center"/>
    </xf>
    <xf numFmtId="0" fontId="39" fillId="5" borderId="13" xfId="0" applyFont="1" applyFill="1" applyBorder="1" applyAlignment="1">
      <alignment horizontal="right" vertical="center" wrapText="1"/>
    </xf>
    <xf numFmtId="165" fontId="39" fillId="5" borderId="13" xfId="1" applyFont="1" applyFill="1" applyBorder="1" applyAlignment="1">
      <alignment horizontal="right" vertical="center" wrapText="1"/>
    </xf>
    <xf numFmtId="165" fontId="39" fillId="5" borderId="13" xfId="0" applyNumberFormat="1" applyFont="1" applyFill="1" applyBorder="1" applyAlignment="1">
      <alignment horizontal="right" vertical="center" wrapText="1"/>
    </xf>
    <xf numFmtId="0" fontId="10" fillId="0" borderId="4" xfId="0" quotePrefix="1" applyFont="1" applyBorder="1" applyAlignment="1">
      <alignment horizontal="left" wrapText="1" indent="1"/>
    </xf>
    <xf numFmtId="0" fontId="10" fillId="0" borderId="4" xfId="0" quotePrefix="1" applyFont="1" applyBorder="1" applyAlignment="1">
      <alignment horizontal="left" indent="1"/>
    </xf>
    <xf numFmtId="168" fontId="11" fillId="0" borderId="3" xfId="1" quotePrefix="1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centerContinuous"/>
    </xf>
    <xf numFmtId="165" fontId="3" fillId="4" borderId="2" xfId="1" applyFont="1" applyFill="1" applyBorder="1" applyAlignment="1">
      <alignment horizontal="centerContinuous"/>
    </xf>
    <xf numFmtId="0" fontId="0" fillId="4" borderId="0" xfId="0" applyFill="1"/>
    <xf numFmtId="0" fontId="3" fillId="4" borderId="0" xfId="0" applyFont="1" applyFill="1" applyAlignment="1">
      <alignment horizontal="centerContinuous"/>
    </xf>
    <xf numFmtId="165" fontId="3" fillId="4" borderId="0" xfId="1" applyFont="1" applyFill="1" applyAlignment="1">
      <alignment horizontal="centerContinuous"/>
    </xf>
    <xf numFmtId="0" fontId="40" fillId="4" borderId="13" xfId="0" applyFont="1" applyFill="1" applyBorder="1" applyAlignment="1">
      <alignment horizontal="left" vertical="center"/>
    </xf>
    <xf numFmtId="0" fontId="40" fillId="4" borderId="13" xfId="0" applyFont="1" applyFill="1" applyBorder="1" applyAlignment="1">
      <alignment horizontal="right" vertical="center" wrapText="1"/>
    </xf>
    <xf numFmtId="165" fontId="40" fillId="4" borderId="13" xfId="1" applyFont="1" applyFill="1" applyBorder="1" applyAlignment="1">
      <alignment horizontal="right" vertical="center" wrapText="1"/>
    </xf>
    <xf numFmtId="176" fontId="0" fillId="0" borderId="0" xfId="0" applyNumberFormat="1"/>
    <xf numFmtId="169" fontId="2" fillId="6" borderId="14" xfId="1" applyNumberFormat="1" applyFont="1" applyFill="1" applyBorder="1"/>
    <xf numFmtId="169" fontId="0" fillId="6" borderId="14" xfId="1" applyNumberFormat="1" applyFont="1" applyFill="1" applyBorder="1"/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0" fontId="41" fillId="0" borderId="1" xfId="0" applyFont="1" applyBorder="1"/>
    <xf numFmtId="166" fontId="20" fillId="0" borderId="1" xfId="0" applyNumberFormat="1" applyFont="1" applyBorder="1" applyAlignment="1">
      <alignment horizontal="left"/>
    </xf>
    <xf numFmtId="0" fontId="0" fillId="6" borderId="0" xfId="0" applyFill="1"/>
    <xf numFmtId="4" fontId="0" fillId="0" borderId="0" xfId="0" applyNumberFormat="1"/>
    <xf numFmtId="168" fontId="11" fillId="0" borderId="2" xfId="1" applyNumberFormat="1" applyFont="1" applyFill="1" applyBorder="1" applyAlignment="1">
      <alignment horizontal="center" vertical="center"/>
    </xf>
    <xf numFmtId="168" fontId="11" fillId="0" borderId="2" xfId="1" applyNumberFormat="1" applyFont="1" applyFill="1" applyBorder="1" applyAlignment="1">
      <alignment horizontal="center"/>
    </xf>
    <xf numFmtId="2" fontId="26" fillId="0" borderId="0" xfId="0" applyNumberFormat="1" applyFont="1"/>
    <xf numFmtId="171" fontId="26" fillId="0" borderId="0" xfId="0" applyNumberFormat="1" applyFont="1"/>
    <xf numFmtId="10" fontId="5" fillId="0" borderId="0" xfId="0" applyNumberFormat="1" applyFont="1"/>
    <xf numFmtId="43" fontId="26" fillId="0" borderId="0" xfId="0" applyNumberFormat="1" applyFont="1"/>
    <xf numFmtId="10" fontId="26" fillId="0" borderId="0" xfId="2" applyNumberFormat="1" applyFont="1"/>
    <xf numFmtId="3" fontId="26" fillId="0" borderId="0" xfId="0" applyNumberFormat="1" applyFont="1"/>
    <xf numFmtId="170" fontId="26" fillId="0" borderId="0" xfId="0" applyNumberFormat="1" applyFont="1"/>
    <xf numFmtId="170" fontId="28" fillId="0" borderId="0" xfId="2" applyNumberFormat="1" applyFont="1"/>
    <xf numFmtId="0" fontId="9" fillId="0" borderId="0" xfId="0" applyFont="1"/>
    <xf numFmtId="167" fontId="26" fillId="2" borderId="0" xfId="0" applyNumberFormat="1" applyFont="1" applyFill="1"/>
    <xf numFmtId="170" fontId="11" fillId="0" borderId="2" xfId="2" applyNumberFormat="1" applyFont="1" applyFill="1" applyBorder="1" applyAlignment="1"/>
    <xf numFmtId="0" fontId="10" fillId="0" borderId="0" xfId="0" quotePrefix="1" applyFont="1"/>
    <xf numFmtId="170" fontId="10" fillId="0" borderId="0" xfId="2" quotePrefix="1" applyNumberFormat="1" applyFont="1" applyFill="1" applyBorder="1" applyAlignment="1"/>
    <xf numFmtId="170" fontId="10" fillId="0" borderId="3" xfId="2" applyNumberFormat="1" applyFont="1" applyFill="1" applyBorder="1" applyAlignment="1"/>
    <xf numFmtId="0" fontId="11" fillId="0" borderId="0" xfId="0" quotePrefix="1" applyFont="1"/>
    <xf numFmtId="170" fontId="11" fillId="0" borderId="3" xfId="2" quotePrefix="1" applyNumberFormat="1" applyFont="1" applyFill="1" applyBorder="1" applyAlignment="1"/>
    <xf numFmtId="170" fontId="10" fillId="0" borderId="4" xfId="2" applyNumberFormat="1" applyFont="1" applyFill="1" applyBorder="1" applyAlignment="1"/>
    <xf numFmtId="170" fontId="26" fillId="0" borderId="0" xfId="2" applyNumberFormat="1" applyFont="1" applyAlignment="1"/>
    <xf numFmtId="168" fontId="27" fillId="0" borderId="0" xfId="1" applyNumberFormat="1" applyFont="1" applyFill="1" applyAlignment="1">
      <alignment vertical="center"/>
    </xf>
    <xf numFmtId="168" fontId="27" fillId="0" borderId="2" xfId="1" applyNumberFormat="1" applyFont="1" applyFill="1" applyBorder="1" applyAlignment="1">
      <alignment vertical="center"/>
    </xf>
    <xf numFmtId="168" fontId="27" fillId="0" borderId="2" xfId="1" applyNumberFormat="1" applyFont="1" applyFill="1" applyBorder="1" applyAlignment="1"/>
    <xf numFmtId="168" fontId="11" fillId="0" borderId="0" xfId="1" quotePrefix="1" applyNumberFormat="1" applyFont="1" applyFill="1" applyBorder="1" applyAlignment="1">
      <alignment vertical="center"/>
    </xf>
    <xf numFmtId="168" fontId="11" fillId="0" borderId="0" xfId="1" quotePrefix="1" applyNumberFormat="1" applyFont="1" applyFill="1" applyBorder="1" applyAlignment="1"/>
    <xf numFmtId="168" fontId="11" fillId="0" borderId="3" xfId="1" applyNumberFormat="1" applyFont="1" applyFill="1" applyBorder="1" applyAlignment="1">
      <alignment vertical="center"/>
    </xf>
    <xf numFmtId="168" fontId="11" fillId="0" borderId="3" xfId="1" applyNumberFormat="1" applyFont="1" applyFill="1" applyBorder="1" applyAlignment="1"/>
    <xf numFmtId="168" fontId="11" fillId="0" borderId="0" xfId="1" applyNumberFormat="1" applyFont="1" applyFill="1" applyAlignment="1">
      <alignment vertical="center"/>
    </xf>
    <xf numFmtId="168" fontId="11" fillId="0" borderId="3" xfId="1" quotePrefix="1" applyNumberFormat="1" applyFont="1" applyFill="1" applyBorder="1" applyAlignment="1"/>
    <xf numFmtId="0" fontId="11" fillId="0" borderId="4" xfId="2" applyNumberFormat="1" applyFont="1" applyFill="1" applyBorder="1" applyAlignment="1"/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170" fontId="31" fillId="0" borderId="0" xfId="2" applyNumberFormat="1" applyFont="1" applyAlignment="1">
      <alignment vertical="top"/>
    </xf>
    <xf numFmtId="170" fontId="5" fillId="0" borderId="0" xfId="0" applyNumberFormat="1" applyFont="1"/>
    <xf numFmtId="178" fontId="26" fillId="0" borderId="0" xfId="0" applyNumberFormat="1" applyFont="1"/>
    <xf numFmtId="179" fontId="27" fillId="0" borderId="0" xfId="1" applyNumberFormat="1" applyFont="1" applyFill="1" applyAlignment="1"/>
    <xf numFmtId="167" fontId="26" fillId="2" borderId="2" xfId="0" applyNumberFormat="1" applyFont="1" applyFill="1" applyBorder="1" applyAlignment="1">
      <alignment horizontal="center"/>
    </xf>
    <xf numFmtId="168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67" fontId="26" fillId="2" borderId="0" xfId="0" applyNumberFormat="1" applyFont="1" applyFill="1" applyAlignment="1">
      <alignment horizontal="center"/>
    </xf>
    <xf numFmtId="170" fontId="26" fillId="0" borderId="0" xfId="2" applyNumberFormat="1" applyFont="1" applyAlignment="1">
      <alignment horizontal="center"/>
    </xf>
    <xf numFmtId="171" fontId="26" fillId="0" borderId="0" xfId="1" applyNumberFormat="1" applyFont="1" applyBorder="1" applyAlignment="1">
      <alignment horizontal="center"/>
    </xf>
    <xf numFmtId="3" fontId="11" fillId="0" borderId="0" xfId="0" applyNumberFormat="1" applyFont="1"/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</cellXfs>
  <cellStyles count="6">
    <cellStyle name="Comma" xfId="1" builtinId="3"/>
    <cellStyle name="Comma 3" xfId="3" xr:uid="{867015EF-74DC-4F3A-AD37-AF84FABE58CB}"/>
    <cellStyle name="Currency 2" xfId="5" xr:uid="{A23FB1C8-AD3B-4035-AEC3-636515EACBAA}"/>
    <cellStyle name="Normal" xfId="0" builtinId="0"/>
    <cellStyle name="Normal 2" xfId="4" xr:uid="{1E0FFE77-3345-4854-AFFE-EB8ECDAD145C}"/>
    <cellStyle name="Percent" xfId="2" builtinId="5"/>
  </cellStyles>
  <dxfs count="0"/>
  <tableStyles count="1" defaultTableStyle="TableStyleMedium2" defaultPivotStyle="PivotStyleLight16">
    <tableStyle name="Invisible" pivot="0" table="0" count="0" xr9:uid="{64EDFF2B-685A-455B-B5AC-65CEDE5EE5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2</xdr:row>
      <xdr:rowOff>97118</xdr:rowOff>
    </xdr:from>
    <xdr:to>
      <xdr:col>10</xdr:col>
      <xdr:colOff>1942353</xdr:colOff>
      <xdr:row>15</xdr:row>
      <xdr:rowOff>918882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80671C8-99F1-71C1-C7E6-2C9F1169F467}"/>
            </a:ext>
          </a:extLst>
        </xdr:cNvPr>
        <xdr:cNvSpPr txBox="1"/>
      </xdr:nvSpPr>
      <xdr:spPr>
        <a:xfrm>
          <a:off x="343647" y="478118"/>
          <a:ext cx="7298765" cy="334682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t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Jarvis Consulting Corp. is a consulting company and it has shared its financial statements (Balance Sheet, income Statement and Cash flow statement) with you.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company has been planning its business expansion. The plan involves a capital outlay of </a:t>
          </a:r>
          <a:r>
            <a:rPr lang="en-US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Rs 500 billion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The company has forecasted operating cash flow in next year of </a:t>
          </a:r>
          <a:r>
            <a:rPr lang="en-US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Rs 250 billion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rtl="0" eaLnBrk="1" fontAlgn="t" latinLnBrk="0" hangingPunct="1"/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 of debt at which company can raise finance is </a:t>
          </a:r>
          <a:r>
            <a:rPr lang="en-US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8%.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Cost of equity for the company is </a:t>
          </a:r>
          <a:r>
            <a:rPr lang="en-US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16%.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 price at which company can issue fresh shares is </a:t>
          </a:r>
          <a:r>
            <a:rPr lang="en-US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Rs. 1,150 per share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The company wants to limit the debt equity ratio to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</a:t>
          </a:r>
          <a:r>
            <a:rPr lang="en-US" sz="11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2:1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pPr rtl="0" eaLnBrk="1" fontAlgn="t" latinLnBrk="0" hangingPunct="1"/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the lead financial strategist, you are required to: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>
            <a:effectLst/>
          </a:endParaRPr>
        </a:p>
      </xdr:txBody>
    </xdr:sp>
    <xdr:clientData/>
  </xdr:twoCellAnchor>
  <xdr:twoCellAnchor>
    <xdr:from>
      <xdr:col>3</xdr:col>
      <xdr:colOff>7471</xdr:colOff>
      <xdr:row>15</xdr:row>
      <xdr:rowOff>465768</xdr:rowOff>
    </xdr:from>
    <xdr:to>
      <xdr:col>3</xdr:col>
      <xdr:colOff>190351</xdr:colOff>
      <xdr:row>15</xdr:row>
      <xdr:rowOff>648648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D34C52E-04EB-12DD-7C89-6F9979D92C55}"/>
            </a:ext>
          </a:extLst>
        </xdr:cNvPr>
        <xdr:cNvSpPr/>
      </xdr:nvSpPr>
      <xdr:spPr>
        <a:xfrm>
          <a:off x="1419412" y="3371827"/>
          <a:ext cx="182880" cy="182880"/>
        </a:xfrm>
        <a:prstGeom prst="ellipse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1</a:t>
          </a:r>
        </a:p>
      </xdr:txBody>
    </xdr:sp>
    <xdr:clientData/>
  </xdr:twoCellAnchor>
  <xdr:twoCellAnchor>
    <xdr:from>
      <xdr:col>1</xdr:col>
      <xdr:colOff>261471</xdr:colOff>
      <xdr:row>14</xdr:row>
      <xdr:rowOff>231590</xdr:rowOff>
    </xdr:from>
    <xdr:to>
      <xdr:col>5</xdr:col>
      <xdr:colOff>134471</xdr:colOff>
      <xdr:row>15</xdr:row>
      <xdr:rowOff>530413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131B68-2E65-C278-ED2F-45FD2D5E786B}"/>
            </a:ext>
          </a:extLst>
        </xdr:cNvPr>
        <xdr:cNvSpPr txBox="1"/>
      </xdr:nvSpPr>
      <xdr:spPr>
        <a:xfrm>
          <a:off x="448236" y="2816414"/>
          <a:ext cx="2323353" cy="62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 eaLnBrk="1" fontAlgn="t" latinLnBrk="0" hangingPunct="1"/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Analyse the operating margins and financial position of business by using Ratio analysis, Horizontal,</a:t>
          </a:r>
          <a:r>
            <a:rPr lang="en-US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</a:t>
          </a:r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ertical &amp; Trend analysis.</a:t>
          </a:r>
        </a:p>
      </xdr:txBody>
    </xdr:sp>
    <xdr:clientData/>
  </xdr:twoCellAnchor>
  <xdr:twoCellAnchor>
    <xdr:from>
      <xdr:col>5</xdr:col>
      <xdr:colOff>366059</xdr:colOff>
      <xdr:row>14</xdr:row>
      <xdr:rowOff>231590</xdr:rowOff>
    </xdr:from>
    <xdr:to>
      <xdr:col>8</xdr:col>
      <xdr:colOff>515471</xdr:colOff>
      <xdr:row>15</xdr:row>
      <xdr:rowOff>530413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94E0D0-C997-CB09-93CE-A54816247B9A}"/>
            </a:ext>
          </a:extLst>
        </xdr:cNvPr>
        <xdr:cNvSpPr txBox="1"/>
      </xdr:nvSpPr>
      <xdr:spPr>
        <a:xfrm>
          <a:off x="3003177" y="2816414"/>
          <a:ext cx="1987176" cy="62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 eaLnBrk="1" fontAlgn="t" latinLnBrk="0" hangingPunct="1"/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 a valuation model based on information provided in tab "Relative valuation".</a:t>
          </a:r>
          <a:endParaRPr lang="en-US" sz="900">
            <a:effectLst/>
          </a:endParaRPr>
        </a:p>
      </xdr:txBody>
    </xdr:sp>
    <xdr:clientData/>
  </xdr:twoCellAnchor>
  <xdr:twoCellAnchor>
    <xdr:from>
      <xdr:col>9</xdr:col>
      <xdr:colOff>134470</xdr:colOff>
      <xdr:row>14</xdr:row>
      <xdr:rowOff>231590</xdr:rowOff>
    </xdr:from>
    <xdr:to>
      <xdr:col>10</xdr:col>
      <xdr:colOff>1845235</xdr:colOff>
      <xdr:row>15</xdr:row>
      <xdr:rowOff>530413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1F3E970-48A3-C4BD-55FD-05D1354D3C62}"/>
            </a:ext>
          </a:extLst>
        </xdr:cNvPr>
        <xdr:cNvSpPr txBox="1"/>
      </xdr:nvSpPr>
      <xdr:spPr>
        <a:xfrm>
          <a:off x="5221941" y="2816414"/>
          <a:ext cx="2323353" cy="620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 eaLnBrk="1" fontAlgn="t" latinLnBrk="0" hangingPunct="1"/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Advise the company  on the use of debt or equity to be used as a preferred financing alternative. Prepare a strong case to support it by highlighting the pros and cons.</a:t>
          </a:r>
          <a:endParaRPr lang="en-US" sz="900">
            <a:effectLst/>
          </a:endParaRPr>
        </a:p>
      </xdr:txBody>
    </xdr:sp>
    <xdr:clientData/>
  </xdr:twoCellAnchor>
  <xdr:twoCellAnchor>
    <xdr:from>
      <xdr:col>7</xdr:col>
      <xdr:colOff>0</xdr:colOff>
      <xdr:row>15</xdr:row>
      <xdr:rowOff>465768</xdr:rowOff>
    </xdr:from>
    <xdr:to>
      <xdr:col>7</xdr:col>
      <xdr:colOff>182880</xdr:colOff>
      <xdr:row>15</xdr:row>
      <xdr:rowOff>648648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EFCD449-991C-A78B-B2F8-0C897863E379}"/>
            </a:ext>
          </a:extLst>
        </xdr:cNvPr>
        <xdr:cNvSpPr/>
      </xdr:nvSpPr>
      <xdr:spPr>
        <a:xfrm>
          <a:off x="3862294" y="3371827"/>
          <a:ext cx="182880" cy="182880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2</a:t>
          </a:r>
        </a:p>
      </xdr:txBody>
    </xdr:sp>
    <xdr:clientData/>
  </xdr:twoCellAnchor>
  <xdr:twoCellAnchor>
    <xdr:from>
      <xdr:col>10</xdr:col>
      <xdr:colOff>627530</xdr:colOff>
      <xdr:row>15</xdr:row>
      <xdr:rowOff>465768</xdr:rowOff>
    </xdr:from>
    <xdr:to>
      <xdr:col>10</xdr:col>
      <xdr:colOff>810410</xdr:colOff>
      <xdr:row>15</xdr:row>
      <xdr:rowOff>648648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D4DAE1B-1F8C-11FB-45AD-C0FD7D108F5C}"/>
            </a:ext>
          </a:extLst>
        </xdr:cNvPr>
        <xdr:cNvSpPr/>
      </xdr:nvSpPr>
      <xdr:spPr>
        <a:xfrm>
          <a:off x="6327589" y="3371827"/>
          <a:ext cx="182880" cy="18288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3</a:t>
          </a:r>
        </a:p>
      </xdr:txBody>
    </xdr:sp>
    <xdr:clientData/>
  </xdr:twoCellAnchor>
  <xdr:twoCellAnchor editAs="oneCell">
    <xdr:from>
      <xdr:col>2</xdr:col>
      <xdr:colOff>597647</xdr:colOff>
      <xdr:row>12</xdr:row>
      <xdr:rowOff>179293</xdr:rowOff>
    </xdr:from>
    <xdr:to>
      <xdr:col>3</xdr:col>
      <xdr:colOff>342834</xdr:colOff>
      <xdr:row>14</xdr:row>
      <xdr:rowOff>200892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1777FD-1FFF-9639-A029-CF6F895A9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0" y="2427940"/>
          <a:ext cx="357775" cy="357775"/>
        </a:xfrm>
        <a:prstGeom prst="rect">
          <a:avLst/>
        </a:prstGeom>
      </xdr:spPr>
    </xdr:pic>
    <xdr:clientData/>
  </xdr:twoCellAnchor>
  <xdr:twoCellAnchor editAs="oneCell">
    <xdr:from>
      <xdr:col>6</xdr:col>
      <xdr:colOff>485588</xdr:colOff>
      <xdr:row>12</xdr:row>
      <xdr:rowOff>164355</xdr:rowOff>
    </xdr:from>
    <xdr:to>
      <xdr:col>7</xdr:col>
      <xdr:colOff>298010</xdr:colOff>
      <xdr:row>14</xdr:row>
      <xdr:rowOff>253189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B8D7ECD-9685-3860-8B70-231AAC3A2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294" y="2413002"/>
          <a:ext cx="425010" cy="425010"/>
        </a:xfrm>
        <a:prstGeom prst="rect">
          <a:avLst/>
        </a:prstGeom>
      </xdr:spPr>
    </xdr:pic>
    <xdr:clientData/>
  </xdr:twoCellAnchor>
  <xdr:twoCellAnchor editAs="oneCell">
    <xdr:from>
      <xdr:col>10</xdr:col>
      <xdr:colOff>545354</xdr:colOff>
      <xdr:row>12</xdr:row>
      <xdr:rowOff>171825</xdr:rowOff>
    </xdr:from>
    <xdr:to>
      <xdr:col>10</xdr:col>
      <xdr:colOff>911412</xdr:colOff>
      <xdr:row>14</xdr:row>
      <xdr:rowOff>201707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94EF68A-DD67-22A1-B3CD-D130982D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413" y="2420472"/>
          <a:ext cx="366058" cy="366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162858</xdr:rowOff>
    </xdr:from>
    <xdr:to>
      <xdr:col>1</xdr:col>
      <xdr:colOff>1303246</xdr:colOff>
      <xdr:row>1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94A0D50-0FC5-62D7-53A4-461AAE2A02C3}"/>
            </a:ext>
          </a:extLst>
        </xdr:cNvPr>
        <xdr:cNvGrpSpPr/>
      </xdr:nvGrpSpPr>
      <xdr:grpSpPr>
        <a:xfrm>
          <a:off x="0" y="162858"/>
          <a:ext cx="1821829" cy="313392"/>
          <a:chOff x="9620249" y="404158"/>
          <a:chExt cx="2217646" cy="382122"/>
        </a:xfrm>
      </xdr:grpSpPr>
      <xdr:sp macro="" textlink="">
        <xdr:nvSpPr>
          <xdr:cNvPr id="2" name="Rectangle: Top Corners Rounded 1">
            <a:extLst>
              <a:ext uri="{FF2B5EF4-FFF2-40B4-BE49-F238E27FC236}">
                <a16:creationId xmlns:a16="http://schemas.microsoft.com/office/drawing/2014/main" id="{FD7862CA-BB10-F44C-C949-0BC45C1C3018}"/>
              </a:ext>
            </a:extLst>
          </xdr:cNvPr>
          <xdr:cNvSpPr/>
        </xdr:nvSpPr>
        <xdr:spPr>
          <a:xfrm rot="5400000">
            <a:off x="10538011" y="-513604"/>
            <a:ext cx="382122" cy="221764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00206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789B38EC-92E0-85C6-8A29-AD5AEADCBCFB}"/>
              </a:ext>
            </a:extLst>
          </xdr:cNvPr>
          <xdr:cNvSpPr txBox="1"/>
        </xdr:nvSpPr>
        <xdr:spPr>
          <a:xfrm>
            <a:off x="9728200" y="447862"/>
            <a:ext cx="1905000" cy="2775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400" b="1">
                <a:solidFill>
                  <a:schemeClr val="bg1"/>
                </a:solidFill>
              </a:rPr>
              <a:t>Jarvis Consulting Corp.</a:t>
            </a:r>
          </a:p>
        </xdr:txBody>
      </xdr:sp>
    </xdr:grpSp>
    <xdr:clientData/>
  </xdr:twoCellAnchor>
  <xdr:twoCellAnchor>
    <xdr:from>
      <xdr:col>0</xdr:col>
      <xdr:colOff>889000</xdr:colOff>
      <xdr:row>1</xdr:row>
      <xdr:rowOff>231588</xdr:rowOff>
    </xdr:from>
    <xdr:to>
      <xdr:col>7</xdr:col>
      <xdr:colOff>37353</xdr:colOff>
      <xdr:row>1</xdr:row>
      <xdr:rowOff>592791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AD35C69-2FBA-2414-AAC5-AF55F6D6CD8D}"/>
            </a:ext>
          </a:extLst>
        </xdr:cNvPr>
        <xdr:cNvGrpSpPr/>
      </xdr:nvGrpSpPr>
      <xdr:grpSpPr>
        <a:xfrm>
          <a:off x="517525" y="707838"/>
          <a:ext cx="7594911" cy="361203"/>
          <a:chOff x="881529" y="896471"/>
          <a:chExt cx="7470588" cy="361203"/>
        </a:xfrm>
      </xdr:grpSpPr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6FD2C75-2C17-0B32-767F-40E8F6897657}"/>
              </a:ext>
            </a:extLst>
          </xdr:cNvPr>
          <xdr:cNvCxnSpPr/>
        </xdr:nvCxnSpPr>
        <xdr:spPr>
          <a:xfrm>
            <a:off x="881529" y="1077072"/>
            <a:ext cx="7470588" cy="0"/>
          </a:xfrm>
          <a:prstGeom prst="line">
            <a:avLst/>
          </a:prstGeom>
          <a:ln w="190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5A6166D7-E5A7-4313-AA70-B6DCF6991C9B}"/>
              </a:ext>
            </a:extLst>
          </xdr:cNvPr>
          <xdr:cNvGrpSpPr/>
        </xdr:nvGrpSpPr>
        <xdr:grpSpPr>
          <a:xfrm>
            <a:off x="3975473" y="896471"/>
            <a:ext cx="1282700" cy="361203"/>
            <a:chOff x="9079006" y="908797"/>
            <a:chExt cx="1411941" cy="327959"/>
          </a:xfrm>
        </xdr:grpSpPr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46A05496-A225-E6D0-6A8F-ED77F8BB1275}"/>
                </a:ext>
              </a:extLst>
            </xdr:cNvPr>
            <xdr:cNvSpPr/>
          </xdr:nvSpPr>
          <xdr:spPr>
            <a:xfrm>
              <a:off x="9079006" y="908797"/>
              <a:ext cx="1411941" cy="327959"/>
            </a:xfrm>
            <a:prstGeom prst="roundRect">
              <a:avLst>
                <a:gd name="adj" fmla="val 50000"/>
              </a:avLst>
            </a:prstGeom>
            <a:solidFill>
              <a:srgbClr val="7030A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9CADD6-8A04-295E-4A3D-F0F6E192F918}"/>
                </a:ext>
              </a:extLst>
            </xdr:cNvPr>
            <xdr:cNvSpPr txBox="1"/>
          </xdr:nvSpPr>
          <xdr:spPr>
            <a:xfrm>
              <a:off x="9121990" y="957648"/>
              <a:ext cx="1325972" cy="2291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Profit and Loss</a:t>
              </a:r>
            </a:p>
          </xdr:txBody>
        </xdr:sp>
      </xdr:grpSp>
    </xdr:grpSp>
    <xdr:clientData/>
  </xdr:twoCellAnchor>
  <xdr:twoCellAnchor>
    <xdr:from>
      <xdr:col>0</xdr:col>
      <xdr:colOff>889000</xdr:colOff>
      <xdr:row>24</xdr:row>
      <xdr:rowOff>90713</xdr:rowOff>
    </xdr:from>
    <xdr:to>
      <xdr:col>7</xdr:col>
      <xdr:colOff>37353</xdr:colOff>
      <xdr:row>24</xdr:row>
      <xdr:rowOff>90713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632C510-F463-494C-9E6E-94E74F1E8A3C}"/>
            </a:ext>
          </a:extLst>
        </xdr:cNvPr>
        <xdr:cNvCxnSpPr/>
      </xdr:nvCxnSpPr>
      <xdr:spPr>
        <a:xfrm>
          <a:off x="889000" y="5479142"/>
          <a:ext cx="7484996" cy="0"/>
        </a:xfrm>
        <a:prstGeom prst="line">
          <a:avLst/>
        </a:prstGeom>
        <a:ln w="190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</xdr:row>
      <xdr:rowOff>417286</xdr:rowOff>
    </xdr:from>
    <xdr:to>
      <xdr:col>7</xdr:col>
      <xdr:colOff>66221</xdr:colOff>
      <xdr:row>2</xdr:row>
      <xdr:rowOff>197918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FD9FA64A-2C9E-4B97-8620-31859E2D9395}"/>
            </a:ext>
          </a:extLst>
        </xdr:cNvPr>
        <xdr:cNvGrpSpPr/>
      </xdr:nvGrpSpPr>
      <xdr:grpSpPr>
        <a:xfrm>
          <a:off x="223006" y="293461"/>
          <a:ext cx="7092798" cy="191265"/>
          <a:chOff x="1323465" y="896471"/>
          <a:chExt cx="6655021" cy="361203"/>
        </a:xfrm>
      </xdr:grpSpPr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C0111158-0103-A769-9418-B299070AABE8}"/>
              </a:ext>
            </a:extLst>
          </xdr:cNvPr>
          <xdr:cNvCxnSpPr/>
        </xdr:nvCxnSpPr>
        <xdr:spPr>
          <a:xfrm>
            <a:off x="1323465" y="1086970"/>
            <a:ext cx="6655021" cy="0"/>
          </a:xfrm>
          <a:prstGeom prst="line">
            <a:avLst/>
          </a:prstGeom>
          <a:ln w="190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192E5A43-2B96-202A-B4D1-CFC608A9D55B}"/>
              </a:ext>
            </a:extLst>
          </xdr:cNvPr>
          <xdr:cNvGrpSpPr/>
        </xdr:nvGrpSpPr>
        <xdr:grpSpPr>
          <a:xfrm>
            <a:off x="3902807" y="896471"/>
            <a:ext cx="1282699" cy="361203"/>
            <a:chOff x="8999025" y="908797"/>
            <a:chExt cx="1411941" cy="327959"/>
          </a:xfrm>
        </xdr:grpSpPr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B87B626F-3EC0-108A-7F31-A06B07BAC28B}"/>
                </a:ext>
              </a:extLst>
            </xdr:cNvPr>
            <xdr:cNvSpPr/>
          </xdr:nvSpPr>
          <xdr:spPr>
            <a:xfrm>
              <a:off x="8999025" y="908797"/>
              <a:ext cx="1411941" cy="327959"/>
            </a:xfrm>
            <a:prstGeom prst="roundRect">
              <a:avLst>
                <a:gd name="adj" fmla="val 50000"/>
              </a:avLst>
            </a:prstGeom>
            <a:solidFill>
              <a:srgbClr val="7030A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6FD563A-D2B3-2494-D605-CFE565E96689}"/>
                </a:ext>
              </a:extLst>
            </xdr:cNvPr>
            <xdr:cNvSpPr txBox="1"/>
          </xdr:nvSpPr>
          <xdr:spPr>
            <a:xfrm>
              <a:off x="9042011" y="957648"/>
              <a:ext cx="1325972" cy="2291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Balance Sheet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208643</xdr:rowOff>
    </xdr:from>
    <xdr:to>
      <xdr:col>7</xdr:col>
      <xdr:colOff>54428</xdr:colOff>
      <xdr:row>1</xdr:row>
      <xdr:rowOff>120330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5D54F9-4F17-4F65-9380-87AA82519C69}"/>
            </a:ext>
          </a:extLst>
        </xdr:cNvPr>
        <xdr:cNvGrpSpPr/>
      </xdr:nvGrpSpPr>
      <xdr:grpSpPr>
        <a:xfrm>
          <a:off x="127000" y="208643"/>
          <a:ext cx="8224761" cy="197437"/>
          <a:chOff x="609572" y="896471"/>
          <a:chExt cx="7765753" cy="361203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083FAE17-CB7F-18CD-D1A8-AE18146F708F}"/>
              </a:ext>
            </a:extLst>
          </xdr:cNvPr>
          <xdr:cNvCxnSpPr/>
        </xdr:nvCxnSpPr>
        <xdr:spPr>
          <a:xfrm>
            <a:off x="609572" y="1086970"/>
            <a:ext cx="7765753" cy="0"/>
          </a:xfrm>
          <a:prstGeom prst="line">
            <a:avLst/>
          </a:prstGeom>
          <a:ln w="190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C4B5CFBF-43DB-AF95-08C0-E702F35A975A}"/>
              </a:ext>
            </a:extLst>
          </xdr:cNvPr>
          <xdr:cNvGrpSpPr/>
        </xdr:nvGrpSpPr>
        <xdr:grpSpPr>
          <a:xfrm>
            <a:off x="3902799" y="896471"/>
            <a:ext cx="1579616" cy="361203"/>
            <a:chOff x="8998981" y="908797"/>
            <a:chExt cx="1738767" cy="327959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C3CCB560-D067-00BD-E0FC-681B92C2683E}"/>
                </a:ext>
              </a:extLst>
            </xdr:cNvPr>
            <xdr:cNvSpPr/>
          </xdr:nvSpPr>
          <xdr:spPr>
            <a:xfrm>
              <a:off x="8998981" y="908797"/>
              <a:ext cx="1738767" cy="327959"/>
            </a:xfrm>
            <a:prstGeom prst="roundRect">
              <a:avLst>
                <a:gd name="adj" fmla="val 50000"/>
              </a:avLst>
            </a:prstGeom>
            <a:solidFill>
              <a:srgbClr val="7030A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0E927DF-00DE-32F4-C59A-6D27C2F0123B}"/>
                </a:ext>
              </a:extLst>
            </xdr:cNvPr>
            <xdr:cNvSpPr txBox="1"/>
          </xdr:nvSpPr>
          <xdr:spPr>
            <a:xfrm>
              <a:off x="9041959" y="957648"/>
              <a:ext cx="1642170" cy="2291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Cash Flow Statement</a:t>
              </a:r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234950</xdr:rowOff>
    </xdr:from>
    <xdr:to>
      <xdr:col>7</xdr:col>
      <xdr:colOff>44450</xdr:colOff>
      <xdr:row>1</xdr:row>
      <xdr:rowOff>144823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AD08CB2-60B5-497C-9493-5DBB19F84052}"/>
            </a:ext>
          </a:extLst>
        </xdr:cNvPr>
        <xdr:cNvGrpSpPr/>
      </xdr:nvGrpSpPr>
      <xdr:grpSpPr>
        <a:xfrm>
          <a:off x="120650" y="234950"/>
          <a:ext cx="6829426" cy="195623"/>
          <a:chOff x="609572" y="896471"/>
          <a:chExt cx="6258744" cy="361203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8A483140-AECB-14CB-79A2-D87E0A870188}"/>
              </a:ext>
            </a:extLst>
          </xdr:cNvPr>
          <xdr:cNvCxnSpPr/>
        </xdr:nvCxnSpPr>
        <xdr:spPr>
          <a:xfrm>
            <a:off x="609572" y="1086970"/>
            <a:ext cx="6258744" cy="0"/>
          </a:xfrm>
          <a:prstGeom prst="line">
            <a:avLst/>
          </a:prstGeom>
          <a:ln w="190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A96B772C-8A8A-E9C0-C97E-15881FB6367A}"/>
              </a:ext>
            </a:extLst>
          </xdr:cNvPr>
          <xdr:cNvGrpSpPr/>
        </xdr:nvGrpSpPr>
        <xdr:grpSpPr>
          <a:xfrm>
            <a:off x="2949136" y="896471"/>
            <a:ext cx="1579616" cy="361203"/>
            <a:chOff x="7949234" y="908797"/>
            <a:chExt cx="1738767" cy="327959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27CE44C0-DA20-4CB1-3F92-81674F38B414}"/>
                </a:ext>
              </a:extLst>
            </xdr:cNvPr>
            <xdr:cNvSpPr/>
          </xdr:nvSpPr>
          <xdr:spPr>
            <a:xfrm>
              <a:off x="7949234" y="908797"/>
              <a:ext cx="1738767" cy="327959"/>
            </a:xfrm>
            <a:prstGeom prst="roundRect">
              <a:avLst>
                <a:gd name="adj" fmla="val 50000"/>
              </a:avLst>
            </a:prstGeom>
            <a:solidFill>
              <a:srgbClr val="7030A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CD28A2C-7E1C-A331-CBB8-2B3DE9FBE3A0}"/>
                </a:ext>
              </a:extLst>
            </xdr:cNvPr>
            <xdr:cNvSpPr txBox="1"/>
          </xdr:nvSpPr>
          <xdr:spPr>
            <a:xfrm>
              <a:off x="7997534" y="957648"/>
              <a:ext cx="1642170" cy="2291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Vertical analysis</a:t>
              </a:r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</xdr:colOff>
      <xdr:row>0</xdr:row>
      <xdr:rowOff>276412</xdr:rowOff>
    </xdr:from>
    <xdr:to>
      <xdr:col>6</xdr:col>
      <xdr:colOff>627529</xdr:colOff>
      <xdr:row>1</xdr:row>
      <xdr:rowOff>185218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F82ACD6-3CEE-4785-A6C6-29B469D1767F}"/>
            </a:ext>
          </a:extLst>
        </xdr:cNvPr>
        <xdr:cNvGrpSpPr/>
      </xdr:nvGrpSpPr>
      <xdr:grpSpPr>
        <a:xfrm>
          <a:off x="201005" y="276412"/>
          <a:ext cx="7814353" cy="194556"/>
          <a:chOff x="609572" y="896471"/>
          <a:chExt cx="7103628" cy="361203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7CD9DA1F-AE54-9097-A6BB-ECEC11598C7D}"/>
              </a:ext>
            </a:extLst>
          </xdr:cNvPr>
          <xdr:cNvCxnSpPr/>
        </xdr:nvCxnSpPr>
        <xdr:spPr>
          <a:xfrm>
            <a:off x="609572" y="1086969"/>
            <a:ext cx="7103628" cy="0"/>
          </a:xfrm>
          <a:prstGeom prst="line">
            <a:avLst/>
          </a:prstGeom>
          <a:ln w="19050">
            <a:solidFill>
              <a:srgbClr val="00206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C62951B9-252B-E5A5-C990-ABC49F293C44}"/>
              </a:ext>
            </a:extLst>
          </xdr:cNvPr>
          <xdr:cNvGrpSpPr/>
        </xdr:nvGrpSpPr>
        <xdr:grpSpPr>
          <a:xfrm>
            <a:off x="3371578" y="896471"/>
            <a:ext cx="1579616" cy="361203"/>
            <a:chOff x="8414238" y="908797"/>
            <a:chExt cx="1738767" cy="327959"/>
          </a:xfrm>
        </xdr:grpSpPr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79925256-3C33-7041-3385-597ACD8EB2EE}"/>
                </a:ext>
              </a:extLst>
            </xdr:cNvPr>
            <xdr:cNvSpPr/>
          </xdr:nvSpPr>
          <xdr:spPr>
            <a:xfrm>
              <a:off x="8414238" y="908797"/>
              <a:ext cx="1738767" cy="327959"/>
            </a:xfrm>
            <a:prstGeom prst="roundRect">
              <a:avLst>
                <a:gd name="adj" fmla="val 50000"/>
              </a:avLst>
            </a:prstGeom>
            <a:solidFill>
              <a:srgbClr val="7030A0"/>
            </a:solidFill>
            <a:ln>
              <a:solidFill>
                <a:srgbClr val="00206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0AAE1DA-D58E-AD2B-7FB2-8806728180BB}"/>
                </a:ext>
              </a:extLst>
            </xdr:cNvPr>
            <xdr:cNvSpPr txBox="1"/>
          </xdr:nvSpPr>
          <xdr:spPr>
            <a:xfrm>
              <a:off x="8462536" y="957647"/>
              <a:ext cx="1642170" cy="22910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200" b="1">
                  <a:solidFill>
                    <a:schemeClr val="bg1"/>
                  </a:solidFill>
                </a:rPr>
                <a:t>Vertical analysis</a:t>
              </a:r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3</xdr:col>
      <xdr:colOff>165100</xdr:colOff>
      <xdr:row>9</xdr:row>
      <xdr:rowOff>37353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52112F-22D5-D3AD-A20E-3A24A80F7B45}"/>
            </a:ext>
          </a:extLst>
        </xdr:cNvPr>
        <xdr:cNvSpPr/>
      </xdr:nvSpPr>
      <xdr:spPr>
        <a:xfrm>
          <a:off x="38100" y="478118"/>
          <a:ext cx="4616824" cy="1651000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2017347</xdr:colOff>
      <xdr:row>1</xdr:row>
      <xdr:rowOff>69850</xdr:rowOff>
    </xdr:from>
    <xdr:to>
      <xdr:col>2</xdr:col>
      <xdr:colOff>662009</xdr:colOff>
      <xdr:row>2</xdr:row>
      <xdr:rowOff>87158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4E4021A-A763-4608-AD31-C9A1D4B9F59A}"/>
            </a:ext>
          </a:extLst>
        </xdr:cNvPr>
        <xdr:cNvSpPr/>
      </xdr:nvSpPr>
      <xdr:spPr>
        <a:xfrm>
          <a:off x="2202962" y="362927"/>
          <a:ext cx="2234855" cy="202923"/>
        </a:xfrm>
        <a:prstGeom prst="roundRect">
          <a:avLst>
            <a:gd name="adj" fmla="val 50000"/>
          </a:avLst>
        </a:prstGeom>
        <a:solidFill>
          <a:srgbClr val="7030A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2031999</xdr:colOff>
      <xdr:row>1</xdr:row>
      <xdr:rowOff>102577</xdr:rowOff>
    </xdr:from>
    <xdr:to>
      <xdr:col>2</xdr:col>
      <xdr:colOff>664305</xdr:colOff>
      <xdr:row>2</xdr:row>
      <xdr:rowOff>58615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25C9D9-85CC-4ABF-BF17-1A8CE0AC72E1}"/>
            </a:ext>
          </a:extLst>
        </xdr:cNvPr>
        <xdr:cNvSpPr txBox="1"/>
      </xdr:nvSpPr>
      <xdr:spPr>
        <a:xfrm>
          <a:off x="2217614" y="395654"/>
          <a:ext cx="2222499" cy="141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Calculating funding to be raised</a:t>
          </a:r>
        </a:p>
      </xdr:txBody>
    </xdr:sp>
    <xdr:clientData/>
  </xdr:twoCellAnchor>
  <xdr:twoCellAnchor>
    <xdr:from>
      <xdr:col>0</xdr:col>
      <xdr:colOff>38100</xdr:colOff>
      <xdr:row>11</xdr:row>
      <xdr:rowOff>51628</xdr:rowOff>
    </xdr:from>
    <xdr:to>
      <xdr:col>3</xdr:col>
      <xdr:colOff>165100</xdr:colOff>
      <xdr:row>21</xdr:row>
      <xdr:rowOff>104587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D4988A1-1D04-AE13-0D59-7E1EEB174B9C}"/>
            </a:ext>
          </a:extLst>
        </xdr:cNvPr>
        <xdr:cNvSpPr/>
      </xdr:nvSpPr>
      <xdr:spPr>
        <a:xfrm>
          <a:off x="38100" y="2860569"/>
          <a:ext cx="4616824" cy="1928077"/>
        </a:xfrm>
        <a:prstGeom prst="rect">
          <a:avLst/>
        </a:prstGeom>
        <a:noFill/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1494693</xdr:colOff>
      <xdr:row>10</xdr:row>
      <xdr:rowOff>138043</xdr:rowOff>
    </xdr:from>
    <xdr:to>
      <xdr:col>2</xdr:col>
      <xdr:colOff>662009</xdr:colOff>
      <xdr:row>11</xdr:row>
      <xdr:rowOff>138787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BF3B652-6F53-1EFE-C79D-619B03F54578}"/>
            </a:ext>
          </a:extLst>
        </xdr:cNvPr>
        <xdr:cNvSpPr/>
      </xdr:nvSpPr>
      <xdr:spPr>
        <a:xfrm>
          <a:off x="1680308" y="2409389"/>
          <a:ext cx="2757509" cy="196129"/>
        </a:xfrm>
        <a:prstGeom prst="roundRect">
          <a:avLst>
            <a:gd name="adj" fmla="val 50000"/>
          </a:avLst>
        </a:prstGeom>
        <a:solidFill>
          <a:srgbClr val="7030A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1528885</xdr:colOff>
      <xdr:row>10</xdr:row>
      <xdr:rowOff>141654</xdr:rowOff>
    </xdr:from>
    <xdr:to>
      <xdr:col>2</xdr:col>
      <xdr:colOff>664305</xdr:colOff>
      <xdr:row>11</xdr:row>
      <xdr:rowOff>143564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EC3300-66B8-FAB6-7746-5798D7766449}"/>
            </a:ext>
          </a:extLst>
        </xdr:cNvPr>
        <xdr:cNvSpPr txBox="1"/>
      </xdr:nvSpPr>
      <xdr:spPr>
        <a:xfrm>
          <a:off x="1714500" y="2413000"/>
          <a:ext cx="2725613" cy="197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Calculating Debt &amp; Equity financing mix</a:t>
          </a:r>
        </a:p>
      </xdr:txBody>
    </xdr:sp>
    <xdr:clientData/>
  </xdr:twoCellAnchor>
  <xdr:twoCellAnchor editAs="oneCell">
    <xdr:from>
      <xdr:col>2</xdr:col>
      <xdr:colOff>231588</xdr:colOff>
      <xdr:row>8</xdr:row>
      <xdr:rowOff>216647</xdr:rowOff>
    </xdr:from>
    <xdr:to>
      <xdr:col>3</xdr:col>
      <xdr:colOff>0</xdr:colOff>
      <xdr:row>8</xdr:row>
      <xdr:rowOff>702236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763F91-6D8A-728C-6E81-CFBE1599E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35" y="1830294"/>
          <a:ext cx="485589" cy="48558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224117</xdr:colOff>
      <xdr:row>17</xdr:row>
      <xdr:rowOff>179292</xdr:rowOff>
    </xdr:from>
    <xdr:to>
      <xdr:col>3</xdr:col>
      <xdr:colOff>66422</xdr:colOff>
      <xdr:row>20</xdr:row>
      <xdr:rowOff>178480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69CD89-1FAE-5287-AE12-60BD91FC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6764" y="4116292"/>
          <a:ext cx="559482" cy="5594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93BE-5E0E-4030-B01D-99A92D46CA70}">
  <dimension ref="B1:K16"/>
  <sheetViews>
    <sheetView showGridLines="0" zoomScale="110" zoomScaleNormal="110" workbookViewId="0">
      <selection activeCell="M12" sqref="M12"/>
    </sheetView>
  </sheetViews>
  <sheetFormatPr defaultRowHeight="14.25" x14ac:dyDescent="0.45"/>
  <cols>
    <col min="1" max="1" width="2.53125" customWidth="1"/>
    <col min="11" max="11" width="29.73046875" customWidth="1"/>
  </cols>
  <sheetData>
    <row r="1" spans="2:11" x14ac:dyDescent="0.45">
      <c r="B1" s="72" t="s">
        <v>114</v>
      </c>
      <c r="C1" s="72"/>
      <c r="D1" s="72"/>
      <c r="E1" s="72"/>
      <c r="F1" s="72"/>
      <c r="G1" s="72"/>
      <c r="H1" s="72"/>
      <c r="I1" s="72"/>
      <c r="J1" s="72"/>
      <c r="K1" s="72"/>
    </row>
    <row r="2" spans="2:11" ht="13.05" customHeight="1" thickBot="1" x14ac:dyDescent="0.5"/>
    <row r="3" spans="2:11" ht="14.55" customHeight="1" x14ac:dyDescent="0.45">
      <c r="B3" s="198"/>
      <c r="C3" s="199"/>
      <c r="D3" s="199"/>
      <c r="E3" s="199"/>
      <c r="F3" s="199"/>
      <c r="G3" s="199"/>
      <c r="H3" s="199"/>
      <c r="I3" s="199"/>
      <c r="J3" s="199"/>
      <c r="K3" s="200"/>
    </row>
    <row r="4" spans="2:11" x14ac:dyDescent="0.45">
      <c r="B4" s="201"/>
      <c r="C4" s="202"/>
      <c r="D4" s="202"/>
      <c r="E4" s="202"/>
      <c r="F4" s="202"/>
      <c r="G4" s="202"/>
      <c r="H4" s="202"/>
      <c r="I4" s="202"/>
      <c r="J4" s="202"/>
      <c r="K4" s="203"/>
    </row>
    <row r="5" spans="2:11" x14ac:dyDescent="0.45">
      <c r="B5" s="201"/>
      <c r="C5" s="202"/>
      <c r="D5" s="202"/>
      <c r="E5" s="202"/>
      <c r="F5" s="202"/>
      <c r="G5" s="202"/>
      <c r="H5" s="202"/>
      <c r="I5" s="202"/>
      <c r="J5" s="202"/>
      <c r="K5" s="203"/>
    </row>
    <row r="6" spans="2:11" x14ac:dyDescent="0.45">
      <c r="B6" s="201"/>
      <c r="C6" s="202"/>
      <c r="D6" s="202"/>
      <c r="E6" s="202"/>
      <c r="F6" s="202"/>
      <c r="G6" s="202"/>
      <c r="H6" s="202"/>
      <c r="I6" s="202"/>
      <c r="J6" s="202"/>
      <c r="K6" s="203"/>
    </row>
    <row r="7" spans="2:11" x14ac:dyDescent="0.45">
      <c r="B7" s="201"/>
      <c r="C7" s="202"/>
      <c r="D7" s="202"/>
      <c r="E7" s="202"/>
      <c r="F7" s="202"/>
      <c r="G7" s="202"/>
      <c r="H7" s="202"/>
      <c r="I7" s="202"/>
      <c r="J7" s="202"/>
      <c r="K7" s="203"/>
    </row>
    <row r="8" spans="2:11" x14ac:dyDescent="0.45">
      <c r="B8" s="201"/>
      <c r="C8" s="202"/>
      <c r="D8" s="202"/>
      <c r="E8" s="202"/>
      <c r="F8" s="202"/>
      <c r="G8" s="202"/>
      <c r="H8" s="202"/>
      <c r="I8" s="202"/>
      <c r="J8" s="202"/>
      <c r="K8" s="203"/>
    </row>
    <row r="9" spans="2:11" x14ac:dyDescent="0.45">
      <c r="B9" s="201"/>
      <c r="C9" s="202"/>
      <c r="D9" s="202"/>
      <c r="E9" s="202"/>
      <c r="F9" s="202"/>
      <c r="G9" s="202"/>
      <c r="H9" s="202"/>
      <c r="I9" s="202"/>
      <c r="J9" s="202"/>
      <c r="K9" s="203"/>
    </row>
    <row r="10" spans="2:11" x14ac:dyDescent="0.45">
      <c r="B10" s="201"/>
      <c r="C10" s="202"/>
      <c r="D10" s="202"/>
      <c r="E10" s="202"/>
      <c r="F10" s="202"/>
      <c r="G10" s="202"/>
      <c r="H10" s="202"/>
      <c r="I10" s="202"/>
      <c r="J10" s="202"/>
      <c r="K10" s="203"/>
    </row>
    <row r="11" spans="2:11" x14ac:dyDescent="0.45">
      <c r="B11" s="201"/>
      <c r="C11" s="202"/>
      <c r="D11" s="202"/>
      <c r="E11" s="202"/>
      <c r="F11" s="202"/>
      <c r="G11" s="202"/>
      <c r="H11" s="202"/>
      <c r="I11" s="202"/>
      <c r="J11" s="202"/>
      <c r="K11" s="203"/>
    </row>
    <row r="12" spans="2:11" x14ac:dyDescent="0.45">
      <c r="B12" s="201"/>
      <c r="C12" s="202"/>
      <c r="D12" s="202"/>
      <c r="E12" s="202"/>
      <c r="F12" s="202"/>
      <c r="G12" s="202"/>
      <c r="H12" s="202"/>
      <c r="I12" s="202"/>
      <c r="J12" s="202"/>
      <c r="K12" s="203"/>
    </row>
    <row r="13" spans="2:11" x14ac:dyDescent="0.45">
      <c r="B13" s="201"/>
      <c r="C13" s="202"/>
      <c r="D13" s="202"/>
      <c r="E13" s="202"/>
      <c r="F13" s="202"/>
      <c r="G13" s="202"/>
      <c r="H13" s="202"/>
      <c r="I13" s="202"/>
      <c r="J13" s="202"/>
      <c r="K13" s="203"/>
    </row>
    <row r="14" spans="2:11" ht="12" customHeight="1" x14ac:dyDescent="0.45">
      <c r="B14" s="201"/>
      <c r="C14" s="202"/>
      <c r="D14" s="202"/>
      <c r="E14" s="202"/>
      <c r="F14" s="202"/>
      <c r="G14" s="202"/>
      <c r="H14" s="202"/>
      <c r="I14" s="202"/>
      <c r="J14" s="202"/>
      <c r="K14" s="203"/>
    </row>
    <row r="15" spans="2:11" ht="25.5" customHeight="1" x14ac:dyDescent="0.45">
      <c r="B15" s="201"/>
      <c r="C15" s="202"/>
      <c r="D15" s="202"/>
      <c r="E15" s="202"/>
      <c r="F15" s="202"/>
      <c r="G15" s="202"/>
      <c r="H15" s="202"/>
      <c r="I15" s="202"/>
      <c r="J15" s="202"/>
      <c r="K15" s="203"/>
    </row>
    <row r="16" spans="2:11" ht="85.5" customHeight="1" thickBot="1" x14ac:dyDescent="0.5">
      <c r="B16" s="204"/>
      <c r="C16" s="205"/>
      <c r="D16" s="205"/>
      <c r="E16" s="205"/>
      <c r="F16" s="205"/>
      <c r="G16" s="205"/>
      <c r="H16" s="205"/>
      <c r="I16" s="205"/>
      <c r="J16" s="205"/>
      <c r="K16" s="206"/>
    </row>
  </sheetData>
  <mergeCells count="1">
    <mergeCell ref="B3:K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986-160E-48D0-8E24-7ECE8F86CBC2}">
  <sheetPr>
    <tabColor theme="0" tint="-0.14999847407452621"/>
  </sheetPr>
  <dimension ref="A1:G110"/>
  <sheetViews>
    <sheetView showGridLines="0" topLeftCell="A17" zoomScale="90" zoomScaleNormal="90" workbookViewId="0">
      <selection activeCell="C17" sqref="C17:G17"/>
    </sheetView>
  </sheetViews>
  <sheetFormatPr defaultColWidth="9.19921875" defaultRowHeight="13.5" x14ac:dyDescent="0.35"/>
  <cols>
    <col min="1" max="1" width="7.265625" style="2" customWidth="1"/>
    <col min="2" max="2" width="52.46484375" style="37" customWidth="1"/>
    <col min="3" max="4" width="10.46484375" style="37" bestFit="1" customWidth="1"/>
    <col min="5" max="7" width="10.796875" style="37" bestFit="1" customWidth="1"/>
    <col min="8" max="16384" width="9.19921875" style="2"/>
  </cols>
  <sheetData>
    <row r="1" spans="1:7" ht="37.5" customHeight="1" x14ac:dyDescent="0.6">
      <c r="A1" s="1"/>
      <c r="D1" s="32"/>
    </row>
    <row r="2" spans="1:7" ht="48.7" customHeight="1" x14ac:dyDescent="0.35"/>
    <row r="3" spans="1:7" ht="9" customHeight="1" x14ac:dyDescent="0.4">
      <c r="A3" s="3"/>
    </row>
    <row r="4" spans="1:7" ht="13.9" x14ac:dyDescent="0.4">
      <c r="B4" s="61"/>
    </row>
    <row r="5" spans="1:7" ht="14.25" thickBot="1" x14ac:dyDescent="0.45">
      <c r="B5" s="62" t="s">
        <v>0</v>
      </c>
      <c r="C5" s="148" t="s">
        <v>203</v>
      </c>
      <c r="D5" s="149" t="s">
        <v>204</v>
      </c>
      <c r="E5" s="149" t="s">
        <v>205</v>
      </c>
      <c r="F5" s="149" t="s">
        <v>206</v>
      </c>
      <c r="G5" s="149" t="s">
        <v>207</v>
      </c>
    </row>
    <row r="6" spans="1:7" x14ac:dyDescent="0.35">
      <c r="B6" s="38" t="s">
        <v>1</v>
      </c>
      <c r="C6" s="100">
        <v>82675</v>
      </c>
      <c r="D6" s="89">
        <v>90791</v>
      </c>
      <c r="E6" s="89">
        <v>100472</v>
      </c>
      <c r="F6" s="89">
        <v>121641</v>
      </c>
      <c r="G6" s="89">
        <v>146767</v>
      </c>
    </row>
    <row r="7" spans="1:7" x14ac:dyDescent="0.35">
      <c r="B7" s="38" t="s">
        <v>2</v>
      </c>
      <c r="C7" s="101">
        <v>53867</v>
      </c>
      <c r="D7" s="90">
        <v>60732</v>
      </c>
      <c r="E7" s="90">
        <v>65413</v>
      </c>
      <c r="F7" s="90">
        <v>81998</v>
      </c>
      <c r="G7" s="90">
        <v>102353</v>
      </c>
    </row>
    <row r="8" spans="1:7" ht="13.9" x14ac:dyDescent="0.4">
      <c r="B8" s="63" t="s">
        <v>182</v>
      </c>
      <c r="C8" s="102">
        <f>C6-C7</f>
        <v>28808</v>
      </c>
      <c r="D8" s="91">
        <f>D6-D7</f>
        <v>30059</v>
      </c>
      <c r="E8" s="91">
        <f>E6-E7</f>
        <v>35059</v>
      </c>
      <c r="F8" s="91">
        <f>F6-F7</f>
        <v>39643</v>
      </c>
      <c r="G8" s="91">
        <f>G6-G7</f>
        <v>44414</v>
      </c>
    </row>
    <row r="9" spans="1:7" x14ac:dyDescent="0.35">
      <c r="B9" s="38"/>
      <c r="C9" s="103"/>
      <c r="D9" s="92"/>
      <c r="E9" s="92"/>
      <c r="F9" s="92"/>
      <c r="G9" s="92"/>
    </row>
    <row r="10" spans="1:7" x14ac:dyDescent="0.35">
      <c r="B10" s="38" t="s">
        <v>4</v>
      </c>
      <c r="C10" s="100">
        <v>9928</v>
      </c>
      <c r="D10" s="89">
        <v>10685</v>
      </c>
      <c r="E10" s="89">
        <v>10437</v>
      </c>
      <c r="F10" s="89">
        <v>11628</v>
      </c>
      <c r="G10" s="89">
        <v>13509</v>
      </c>
    </row>
    <row r="11" spans="1:7" x14ac:dyDescent="0.35">
      <c r="B11" s="38" t="s">
        <v>5</v>
      </c>
      <c r="C11" s="100">
        <v>-2161</v>
      </c>
      <c r="D11" s="89">
        <v>-2803</v>
      </c>
      <c r="E11" s="89">
        <v>-2201</v>
      </c>
      <c r="F11" s="89">
        <v>-2295</v>
      </c>
      <c r="G11" s="89">
        <v>-2701</v>
      </c>
    </row>
    <row r="12" spans="1:7" ht="13.9" x14ac:dyDescent="0.4">
      <c r="B12" s="36" t="s">
        <v>6</v>
      </c>
      <c r="C12" s="104">
        <f>C8-C10-C11</f>
        <v>21041</v>
      </c>
      <c r="D12" s="93">
        <f>D8-D10-D11</f>
        <v>22177</v>
      </c>
      <c r="E12" s="93">
        <f>E8-E10-E11</f>
        <v>26823</v>
      </c>
      <c r="F12" s="93">
        <f>F8-F10-F11</f>
        <v>30310</v>
      </c>
      <c r="G12" s="93">
        <f>G8-G10-G11</f>
        <v>33606</v>
      </c>
    </row>
    <row r="13" spans="1:7" x14ac:dyDescent="0.35">
      <c r="B13" s="38" t="s">
        <v>7</v>
      </c>
      <c r="C13" s="105">
        <v>0</v>
      </c>
      <c r="D13" s="94">
        <v>0</v>
      </c>
      <c r="E13" s="94">
        <v>0</v>
      </c>
      <c r="F13" s="94">
        <v>0</v>
      </c>
      <c r="G13" s="94">
        <v>0</v>
      </c>
    </row>
    <row r="14" spans="1:7" x14ac:dyDescent="0.35">
      <c r="B14" s="38" t="s">
        <v>8</v>
      </c>
      <c r="C14" s="101">
        <v>0</v>
      </c>
      <c r="D14" s="90">
        <v>-170</v>
      </c>
      <c r="E14" s="90">
        <v>-195</v>
      </c>
      <c r="F14" s="90">
        <v>-200</v>
      </c>
      <c r="G14" s="90">
        <v>284</v>
      </c>
    </row>
    <row r="15" spans="1:7" x14ac:dyDescent="0.35">
      <c r="B15" s="38"/>
      <c r="C15" s="103"/>
      <c r="D15" s="92"/>
      <c r="E15" s="92"/>
      <c r="F15" s="92"/>
      <c r="G15" s="92"/>
    </row>
    <row r="16" spans="1:7" ht="13.9" x14ac:dyDescent="0.4">
      <c r="B16" s="36" t="s">
        <v>9</v>
      </c>
      <c r="C16" s="103">
        <f>C12-C14-C13</f>
        <v>21041</v>
      </c>
      <c r="D16" s="92">
        <f>D12-D14-D13</f>
        <v>22347</v>
      </c>
      <c r="E16" s="92">
        <f>E12-E14-E13</f>
        <v>27018</v>
      </c>
      <c r="F16" s="92">
        <f>F12-F14-F13</f>
        <v>30510</v>
      </c>
      <c r="G16" s="92">
        <f>G12-G14-G13</f>
        <v>33322</v>
      </c>
    </row>
    <row r="17" spans="2:7" x14ac:dyDescent="0.35">
      <c r="B17" s="38" t="s">
        <v>10</v>
      </c>
      <c r="C17" s="100">
        <v>5631</v>
      </c>
      <c r="D17" s="89">
        <v>5368</v>
      </c>
      <c r="E17" s="89">
        <v>7205</v>
      </c>
      <c r="F17" s="89">
        <v>7964</v>
      </c>
      <c r="G17" s="89">
        <v>9214</v>
      </c>
    </row>
    <row r="18" spans="2:7" x14ac:dyDescent="0.35">
      <c r="B18" s="39" t="s">
        <v>179</v>
      </c>
      <c r="C18" s="136">
        <f>C16-C17</f>
        <v>15410</v>
      </c>
      <c r="D18" s="136">
        <f>D16-D17</f>
        <v>16979</v>
      </c>
      <c r="E18" s="136">
        <f>E16-E17</f>
        <v>19813</v>
      </c>
      <c r="F18" s="136">
        <f>F16-F17</f>
        <v>22546</v>
      </c>
      <c r="G18" s="136">
        <f>G16-G17</f>
        <v>24108</v>
      </c>
    </row>
    <row r="19" spans="2:7" x14ac:dyDescent="0.35">
      <c r="B19" s="38" t="s">
        <v>13</v>
      </c>
      <c r="C19" s="106">
        <f>C18/C22</f>
        <v>35.448674052664209</v>
      </c>
      <c r="D19" s="95">
        <f>D18/D22</f>
        <v>39.877827414118826</v>
      </c>
      <c r="E19" s="95">
        <f>E18/E22</f>
        <v>46.702154843623781</v>
      </c>
      <c r="F19" s="95">
        <f>F18/F22</f>
        <v>53.559210713728142</v>
      </c>
      <c r="G19" s="95">
        <f>G18/G22</f>
        <v>57.662255392430652</v>
      </c>
    </row>
    <row r="20" spans="2:7" ht="13.9" thickBot="1" x14ac:dyDescent="0.4">
      <c r="B20" s="45" t="s">
        <v>14</v>
      </c>
      <c r="C20" s="107">
        <f>C18/C23</f>
        <v>35.397451353916587</v>
      </c>
      <c r="D20" s="96">
        <f>D18/D23</f>
        <v>39.808735865332622</v>
      </c>
      <c r="E20" s="96">
        <f>E18/E23</f>
        <v>46.610790384517507</v>
      </c>
      <c r="F20" s="96">
        <f>F18/F23</f>
        <v>53.445219084476356</v>
      </c>
      <c r="G20" s="96">
        <f>G18/G23</f>
        <v>57.568166620594383</v>
      </c>
    </row>
    <row r="21" spans="2:7" x14ac:dyDescent="0.35">
      <c r="B21" s="38"/>
      <c r="C21" s="108"/>
      <c r="D21" s="97"/>
      <c r="E21" s="97"/>
      <c r="F21" s="97"/>
      <c r="G21" s="97"/>
    </row>
    <row r="22" spans="2:7" x14ac:dyDescent="0.35">
      <c r="B22" s="38" t="s">
        <v>15</v>
      </c>
      <c r="C22" s="109">
        <v>434.71301570000003</v>
      </c>
      <c r="D22" s="98">
        <v>425.77545220000002</v>
      </c>
      <c r="E22" s="98">
        <v>424.24166650000001</v>
      </c>
      <c r="F22" s="98">
        <v>420.95467239999999</v>
      </c>
      <c r="G22" s="98">
        <v>418.08978569999999</v>
      </c>
    </row>
    <row r="23" spans="2:7" x14ac:dyDescent="0.35">
      <c r="B23" s="38" t="s">
        <v>16</v>
      </c>
      <c r="C23" s="109">
        <v>435.34207720000001</v>
      </c>
      <c r="D23" s="98">
        <v>426.51442279999998</v>
      </c>
      <c r="E23" s="98">
        <v>425.07324670000003</v>
      </c>
      <c r="F23" s="98">
        <v>421.85251340000002</v>
      </c>
      <c r="G23" s="98">
        <v>418.77310699999998</v>
      </c>
    </row>
    <row r="24" spans="2:7" x14ac:dyDescent="0.35">
      <c r="B24" s="38"/>
      <c r="C24" s="110"/>
      <c r="D24" s="99"/>
      <c r="E24" s="99"/>
      <c r="F24" s="99"/>
      <c r="G24" s="99"/>
    </row>
    <row r="25" spans="2:7" x14ac:dyDescent="0.35">
      <c r="B25" s="38"/>
      <c r="C25" s="111"/>
      <c r="D25" s="111"/>
      <c r="E25" s="111"/>
      <c r="F25" s="111"/>
      <c r="G25" s="111"/>
    </row>
    <row r="94" spans="2:7" x14ac:dyDescent="0.35">
      <c r="B94" s="5"/>
      <c r="C94" s="64"/>
      <c r="D94" s="64"/>
      <c r="E94" s="64"/>
      <c r="F94" s="64"/>
      <c r="G94" s="64"/>
    </row>
    <row r="95" spans="2:7" x14ac:dyDescent="0.35">
      <c r="B95" s="5"/>
      <c r="C95" s="64"/>
      <c r="D95" s="64"/>
      <c r="E95" s="64"/>
      <c r="F95" s="64"/>
      <c r="G95" s="64"/>
    </row>
    <row r="96" spans="2:7" x14ac:dyDescent="0.35">
      <c r="B96" s="6"/>
      <c r="C96" s="6"/>
      <c r="D96" s="6"/>
      <c r="E96" s="6"/>
      <c r="F96" s="6"/>
      <c r="G96" s="6"/>
    </row>
    <row r="97" spans="1:7" x14ac:dyDescent="0.35">
      <c r="B97" s="6"/>
      <c r="C97" s="6"/>
      <c r="D97" s="6"/>
      <c r="E97" s="6"/>
      <c r="F97" s="6"/>
      <c r="G97" s="6"/>
    </row>
    <row r="98" spans="1:7" x14ac:dyDescent="0.35">
      <c r="B98" s="6"/>
      <c r="C98" s="6"/>
      <c r="D98" s="6"/>
      <c r="E98" s="6"/>
      <c r="F98" s="6"/>
      <c r="G98" s="6"/>
    </row>
    <row r="99" spans="1:7" x14ac:dyDescent="0.35">
      <c r="B99" s="6"/>
      <c r="C99" s="6"/>
      <c r="D99" s="6"/>
      <c r="E99" s="6"/>
      <c r="F99" s="6"/>
      <c r="G99" s="6"/>
    </row>
    <row r="100" spans="1:7" x14ac:dyDescent="0.35">
      <c r="B100" s="6"/>
      <c r="C100" s="6"/>
      <c r="D100" s="6"/>
      <c r="E100" s="6"/>
      <c r="F100" s="6"/>
      <c r="G100" s="6"/>
    </row>
    <row r="101" spans="1:7" x14ac:dyDescent="0.35">
      <c r="B101" s="6"/>
      <c r="C101" s="6"/>
      <c r="D101" s="6"/>
      <c r="E101" s="6"/>
      <c r="F101" s="6"/>
      <c r="G101" s="6"/>
    </row>
    <row r="102" spans="1:7" x14ac:dyDescent="0.35">
      <c r="B102" s="6"/>
      <c r="C102" s="6"/>
      <c r="D102" s="6"/>
      <c r="E102" s="6"/>
      <c r="F102" s="6"/>
      <c r="G102" s="6"/>
    </row>
    <row r="103" spans="1:7" x14ac:dyDescent="0.35">
      <c r="B103" s="7"/>
      <c r="C103" s="64"/>
      <c r="D103" s="64"/>
      <c r="E103" s="64"/>
      <c r="F103" s="64"/>
      <c r="G103" s="64"/>
    </row>
    <row r="106" spans="1:7" ht="13.9" x14ac:dyDescent="0.4">
      <c r="A106" s="8"/>
      <c r="B106" s="31"/>
      <c r="C106" s="31"/>
      <c r="D106" s="31"/>
      <c r="E106" s="31"/>
      <c r="F106" s="31"/>
      <c r="G106" s="31"/>
    </row>
    <row r="107" spans="1:7" ht="15" x14ac:dyDescent="0.4">
      <c r="A107" s="10"/>
      <c r="B107" s="31"/>
      <c r="C107" s="31"/>
      <c r="D107" s="31"/>
      <c r="E107" s="31"/>
      <c r="F107" s="31"/>
      <c r="G107" s="31"/>
    </row>
    <row r="108" spans="1:7" x14ac:dyDescent="0.35">
      <c r="A108" s="9"/>
      <c r="B108" s="31"/>
      <c r="C108" s="31"/>
      <c r="D108" s="31"/>
      <c r="E108" s="31"/>
      <c r="F108" s="31"/>
      <c r="G108" s="31"/>
    </row>
    <row r="109" spans="1:7" x14ac:dyDescent="0.35">
      <c r="A109" s="9"/>
      <c r="B109" s="31"/>
      <c r="C109" s="31"/>
      <c r="D109" s="31"/>
      <c r="E109" s="31"/>
      <c r="F109" s="31"/>
      <c r="G109" s="31"/>
    </row>
    <row r="110" spans="1:7" x14ac:dyDescent="0.35">
      <c r="A110" s="9"/>
      <c r="B110" s="31"/>
      <c r="C110" s="31"/>
      <c r="D110" s="31"/>
      <c r="E110" s="31"/>
      <c r="F110" s="31"/>
      <c r="G110" s="3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8139-14EB-4A08-95CA-95FA2DBC4A0E}">
  <sheetPr>
    <tabColor theme="0" tint="-0.14999847407452621"/>
  </sheetPr>
  <dimension ref="A1:K161"/>
  <sheetViews>
    <sheetView showGridLines="0" topLeftCell="A21" zoomScale="90" zoomScaleNormal="90" workbookViewId="0">
      <selection activeCell="K17" sqref="K17"/>
    </sheetView>
  </sheetViews>
  <sheetFormatPr defaultColWidth="9.19921875" defaultRowHeight="13.5" x14ac:dyDescent="0.35"/>
  <cols>
    <col min="1" max="1" width="2.73046875" style="2" customWidth="1"/>
    <col min="2" max="2" width="38.73046875" style="37" customWidth="1"/>
    <col min="3" max="4" width="11.53125" style="37" customWidth="1"/>
    <col min="5" max="5" width="12.265625" style="37" customWidth="1"/>
    <col min="6" max="7" width="12.265625" style="37" bestFit="1" customWidth="1"/>
    <col min="8" max="16384" width="9.19921875" style="2"/>
  </cols>
  <sheetData>
    <row r="1" spans="1:11" ht="22.5" x14ac:dyDescent="0.6">
      <c r="A1" s="1">
        <f>'P&amp;L'!A1</f>
        <v>0</v>
      </c>
      <c r="B1" s="31"/>
      <c r="C1" s="31"/>
      <c r="D1" s="32"/>
      <c r="E1" s="31"/>
      <c r="F1" s="31"/>
      <c r="G1" s="31"/>
    </row>
    <row r="2" spans="1:11" ht="1.05" customHeight="1" x14ac:dyDescent="0.35">
      <c r="A2" s="9"/>
      <c r="B2" s="31"/>
      <c r="C2" s="31"/>
      <c r="D2" s="31"/>
      <c r="E2" s="31"/>
      <c r="F2" s="31"/>
      <c r="G2" s="31"/>
    </row>
    <row r="3" spans="1:11" ht="15" x14ac:dyDescent="0.4">
      <c r="A3" s="3"/>
      <c r="B3" s="31"/>
      <c r="C3" s="31"/>
      <c r="D3" s="31"/>
      <c r="E3" s="31"/>
      <c r="F3" s="31"/>
      <c r="G3" s="31"/>
    </row>
    <row r="5" spans="1:11" ht="14.25" thickBot="1" x14ac:dyDescent="0.45">
      <c r="B5" s="151" t="s">
        <v>0</v>
      </c>
      <c r="C5" s="34" t="str">
        <f>'P&amp;L'!C5</f>
        <v>FY 19</v>
      </c>
      <c r="D5" s="34" t="str">
        <f>'P&amp;L'!D5</f>
        <v>FY 20</v>
      </c>
      <c r="E5" s="34" t="str">
        <f>'P&amp;L'!E5</f>
        <v>FY 21</v>
      </c>
      <c r="F5" s="34" t="str">
        <f>'P&amp;L'!F5</f>
        <v>FY 22</v>
      </c>
      <c r="G5" s="34" t="str">
        <f>'P&amp;L'!G5</f>
        <v>FY 23</v>
      </c>
    </row>
    <row r="6" spans="1:11" ht="13.9" x14ac:dyDescent="0.4">
      <c r="B6" s="36" t="s">
        <v>29</v>
      </c>
    </row>
    <row r="7" spans="1:11" x14ac:dyDescent="0.35">
      <c r="B7" s="38" t="s">
        <v>30</v>
      </c>
    </row>
    <row r="8" spans="1:11" x14ac:dyDescent="0.35">
      <c r="B8" s="39" t="s">
        <v>183</v>
      </c>
      <c r="C8" s="40">
        <v>19568</v>
      </c>
      <c r="D8" s="40">
        <v>18649</v>
      </c>
      <c r="E8" s="40">
        <v>24714</v>
      </c>
      <c r="F8" s="40">
        <v>17472</v>
      </c>
      <c r="G8" s="40">
        <v>12173</v>
      </c>
    </row>
    <row r="9" spans="1:11" x14ac:dyDescent="0.35">
      <c r="B9" s="39" t="s">
        <v>184</v>
      </c>
      <c r="C9" s="40">
        <v>14827</v>
      </c>
      <c r="D9" s="40">
        <v>18487</v>
      </c>
      <c r="E9" s="40">
        <v>19294</v>
      </c>
      <c r="F9" s="40">
        <v>22698</v>
      </c>
      <c r="G9" s="40">
        <v>25424</v>
      </c>
    </row>
    <row r="10" spans="1:11" x14ac:dyDescent="0.35">
      <c r="B10" s="39" t="s">
        <v>185</v>
      </c>
      <c r="C10" s="40">
        <v>0</v>
      </c>
      <c r="D10" s="40">
        <v>0</v>
      </c>
      <c r="E10" s="40">
        <v>0</v>
      </c>
      <c r="F10" s="40">
        <v>0</v>
      </c>
      <c r="G10" s="41">
        <v>0</v>
      </c>
    </row>
    <row r="11" spans="1:11" x14ac:dyDescent="0.35">
      <c r="B11" s="39" t="s">
        <v>186</v>
      </c>
      <c r="C11" s="49">
        <v>18483</v>
      </c>
      <c r="D11" s="49">
        <v>17440</v>
      </c>
      <c r="E11" s="49">
        <v>16725</v>
      </c>
      <c r="F11" s="49">
        <v>27015</v>
      </c>
      <c r="G11" s="49">
        <v>33284</v>
      </c>
    </row>
    <row r="12" spans="1:11" ht="13.9" x14ac:dyDescent="0.4">
      <c r="B12" s="112" t="s">
        <v>187</v>
      </c>
      <c r="C12" s="114">
        <f>SUM(C8:C11)</f>
        <v>52878</v>
      </c>
      <c r="D12" s="114">
        <f>SUM(D8:D11)</f>
        <v>54576</v>
      </c>
      <c r="E12" s="114">
        <f>SUM(E8:E11)</f>
        <v>60733</v>
      </c>
      <c r="F12" s="114">
        <f>SUM(F8:F11)</f>
        <v>67185</v>
      </c>
      <c r="G12" s="114">
        <f>SUM(G8:G11)</f>
        <v>70881</v>
      </c>
    </row>
    <row r="13" spans="1:11" x14ac:dyDescent="0.35">
      <c r="B13" s="38"/>
      <c r="C13" s="42"/>
      <c r="D13" s="42"/>
      <c r="E13" s="42"/>
      <c r="F13" s="43"/>
      <c r="G13" s="43"/>
    </row>
    <row r="14" spans="1:11" x14ac:dyDescent="0.35">
      <c r="B14" s="38" t="s">
        <v>36</v>
      </c>
      <c r="C14" s="40">
        <v>11479</v>
      </c>
      <c r="D14" s="40">
        <v>12435</v>
      </c>
      <c r="E14" s="40">
        <v>12560</v>
      </c>
      <c r="F14" s="40">
        <v>13075</v>
      </c>
      <c r="G14" s="40">
        <v>13346</v>
      </c>
      <c r="I14" s="159"/>
      <c r="J14" s="159">
        <f t="shared" ref="J14:K14" si="0">(E8-D8)/D8</f>
        <v>0.32521851037589145</v>
      </c>
      <c r="K14" s="159">
        <f t="shared" si="0"/>
        <v>-0.29303228939062881</v>
      </c>
    </row>
    <row r="15" spans="1:11" x14ac:dyDescent="0.35">
      <c r="B15" s="38" t="s">
        <v>37</v>
      </c>
      <c r="C15" s="40">
        <v>0</v>
      </c>
      <c r="D15" s="40">
        <v>4168</v>
      </c>
      <c r="E15" s="40">
        <v>4794</v>
      </c>
      <c r="F15" s="40">
        <v>4823</v>
      </c>
      <c r="G15" s="40">
        <v>6882</v>
      </c>
      <c r="I15" s="159"/>
    </row>
    <row r="16" spans="1:11" x14ac:dyDescent="0.35">
      <c r="B16" s="38" t="s">
        <v>38</v>
      </c>
      <c r="C16" s="40">
        <v>3540</v>
      </c>
      <c r="D16" s="40">
        <v>5286</v>
      </c>
      <c r="E16" s="40">
        <v>6079</v>
      </c>
      <c r="F16" s="40">
        <v>6195</v>
      </c>
      <c r="G16" s="40">
        <v>7248</v>
      </c>
    </row>
    <row r="17" spans="2:8" x14ac:dyDescent="0.35">
      <c r="B17" s="38" t="s">
        <v>39</v>
      </c>
      <c r="C17" s="40">
        <v>691</v>
      </c>
      <c r="D17" s="40">
        <v>1900</v>
      </c>
      <c r="E17" s="40">
        <v>2072</v>
      </c>
      <c r="F17" s="40">
        <v>1707</v>
      </c>
      <c r="G17" s="40">
        <v>1749</v>
      </c>
    </row>
    <row r="18" spans="2:8" x14ac:dyDescent="0.35">
      <c r="B18" s="38" t="s">
        <v>40</v>
      </c>
      <c r="C18" s="40">
        <v>7692</v>
      </c>
      <c r="D18" s="40">
        <v>7128</v>
      </c>
      <c r="E18" s="40">
        <v>6909</v>
      </c>
      <c r="F18" s="40">
        <v>7310</v>
      </c>
      <c r="G18" s="40">
        <v>7698</v>
      </c>
    </row>
    <row r="19" spans="2:8" x14ac:dyDescent="0.35">
      <c r="B19" s="39" t="s">
        <v>41</v>
      </c>
      <c r="C19" s="49">
        <v>8458</v>
      </c>
      <c r="D19" s="49">
        <v>7275</v>
      </c>
      <c r="E19" s="49">
        <v>15239</v>
      </c>
      <c r="F19" s="49">
        <v>17590</v>
      </c>
      <c r="G19" s="49">
        <v>18012</v>
      </c>
    </row>
    <row r="20" spans="2:8" ht="13.9" x14ac:dyDescent="0.4">
      <c r="B20" s="115" t="s">
        <v>42</v>
      </c>
      <c r="C20" s="116">
        <f>SUM(C12:C19)</f>
        <v>84738</v>
      </c>
      <c r="D20" s="116">
        <f>SUM(D12:D19)</f>
        <v>92768</v>
      </c>
      <c r="E20" s="116">
        <f>SUM(E12:E19)</f>
        <v>108386</v>
      </c>
      <c r="F20" s="116">
        <f>SUM(F12:F19)</f>
        <v>117885</v>
      </c>
      <c r="G20" s="116">
        <f>SUM(G12:G19)</f>
        <v>125816</v>
      </c>
    </row>
    <row r="21" spans="2:8" ht="13.9" thickBot="1" x14ac:dyDescent="0.4">
      <c r="B21" s="45"/>
      <c r="C21" s="46"/>
      <c r="D21" s="46"/>
      <c r="E21" s="46"/>
      <c r="F21" s="47"/>
      <c r="G21" s="47"/>
    </row>
    <row r="22" spans="2:8" ht="13.9" x14ac:dyDescent="0.4">
      <c r="B22" s="36" t="s">
        <v>43</v>
      </c>
      <c r="C22" s="42"/>
      <c r="D22" s="42"/>
      <c r="E22" s="42"/>
      <c r="F22" s="48"/>
      <c r="G22" s="48"/>
    </row>
    <row r="23" spans="2:8" x14ac:dyDescent="0.35">
      <c r="B23" s="38" t="s">
        <v>44</v>
      </c>
      <c r="C23" s="42"/>
      <c r="D23" s="42"/>
      <c r="E23" s="42"/>
      <c r="F23" s="43"/>
      <c r="G23" s="43"/>
    </row>
    <row r="24" spans="2:8" x14ac:dyDescent="0.35">
      <c r="B24" s="39" t="s">
        <v>188</v>
      </c>
      <c r="C24" s="40">
        <v>10452</v>
      </c>
      <c r="D24" s="40">
        <v>10481</v>
      </c>
      <c r="E24" s="40">
        <v>11390</v>
      </c>
      <c r="F24" s="40">
        <v>15837</v>
      </c>
      <c r="G24" s="40">
        <v>18558</v>
      </c>
    </row>
    <row r="25" spans="2:8" x14ac:dyDescent="0.35">
      <c r="B25" s="39" t="s">
        <v>46</v>
      </c>
      <c r="C25" s="40">
        <v>0</v>
      </c>
      <c r="D25" s="40">
        <v>619</v>
      </c>
      <c r="E25" s="40">
        <v>738</v>
      </c>
      <c r="F25" s="40">
        <v>872</v>
      </c>
      <c r="G25" s="40">
        <v>1242</v>
      </c>
      <c r="H25" s="4"/>
    </row>
    <row r="26" spans="2:8" x14ac:dyDescent="0.35">
      <c r="B26" s="39" t="s">
        <v>189</v>
      </c>
      <c r="C26" s="40">
        <v>1655</v>
      </c>
      <c r="D26" s="40">
        <v>2852</v>
      </c>
      <c r="E26" s="40">
        <v>2645</v>
      </c>
      <c r="F26" s="40">
        <v>4134</v>
      </c>
      <c r="G26" s="40">
        <v>3865</v>
      </c>
    </row>
    <row r="27" spans="2:8" x14ac:dyDescent="0.35">
      <c r="B27" s="39" t="s">
        <v>190</v>
      </c>
      <c r="C27" s="49">
        <v>1567</v>
      </c>
      <c r="D27" s="49">
        <v>1490</v>
      </c>
      <c r="E27" s="49">
        <v>2146</v>
      </c>
      <c r="F27" s="49">
        <v>2607</v>
      </c>
      <c r="G27" s="49">
        <v>3384</v>
      </c>
    </row>
    <row r="28" spans="2:8" x14ac:dyDescent="0.35">
      <c r="B28" s="39" t="s">
        <v>191</v>
      </c>
      <c r="C28" s="49">
        <v>4964</v>
      </c>
      <c r="D28" s="49">
        <v>5414</v>
      </c>
      <c r="E28" s="49">
        <v>6946</v>
      </c>
      <c r="F28" s="49">
        <v>10153</v>
      </c>
      <c r="G28" s="49">
        <v>12137</v>
      </c>
    </row>
    <row r="29" spans="2:8" ht="13.9" x14ac:dyDescent="0.4">
      <c r="B29" s="112" t="s">
        <v>192</v>
      </c>
      <c r="C29" s="113">
        <f>SUM(C24:C28)</f>
        <v>18638</v>
      </c>
      <c r="D29" s="113">
        <f>SUM(D24:D28)</f>
        <v>20856</v>
      </c>
      <c r="E29" s="113">
        <f>SUM(E24:E28)</f>
        <v>23865</v>
      </c>
      <c r="F29" s="113">
        <f>SUM(F24:F28)</f>
        <v>33603</v>
      </c>
      <c r="G29" s="113">
        <f>SUM(G24:G28)</f>
        <v>39186</v>
      </c>
    </row>
    <row r="30" spans="2:8" x14ac:dyDescent="0.35">
      <c r="B30" s="38"/>
      <c r="C30" s="42"/>
      <c r="D30" s="42"/>
      <c r="E30" s="42"/>
      <c r="F30" s="43"/>
      <c r="G30" s="43"/>
    </row>
    <row r="31" spans="2:8" x14ac:dyDescent="0.35">
      <c r="B31" s="38" t="s">
        <v>49</v>
      </c>
      <c r="C31" s="40">
        <v>147</v>
      </c>
      <c r="D31" s="40">
        <v>4821</v>
      </c>
      <c r="E31" s="40">
        <v>6101</v>
      </c>
      <c r="F31" s="40">
        <v>6939</v>
      </c>
      <c r="G31" s="40">
        <v>9115</v>
      </c>
      <c r="H31" s="4"/>
    </row>
    <row r="32" spans="2:8" x14ac:dyDescent="0.35">
      <c r="B32" s="38" t="s">
        <v>50</v>
      </c>
      <c r="C32" s="40">
        <v>672</v>
      </c>
      <c r="D32" s="40">
        <v>968</v>
      </c>
      <c r="E32" s="40">
        <v>875</v>
      </c>
      <c r="F32" s="40">
        <v>1156</v>
      </c>
      <c r="G32" s="40">
        <v>1220</v>
      </c>
    </row>
    <row r="33" spans="2:7" x14ac:dyDescent="0.35">
      <c r="B33" s="38" t="s">
        <v>51</v>
      </c>
      <c r="C33" s="49">
        <v>275</v>
      </c>
      <c r="D33" s="49">
        <v>279</v>
      </c>
      <c r="E33" s="49">
        <v>763</v>
      </c>
      <c r="F33" s="49">
        <v>451</v>
      </c>
      <c r="G33" s="49">
        <v>500</v>
      </c>
    </row>
    <row r="34" spans="2:7" ht="13.9" x14ac:dyDescent="0.4">
      <c r="B34" s="115" t="s">
        <v>52</v>
      </c>
      <c r="C34" s="114">
        <f>SUM(C29:C33)</f>
        <v>19732</v>
      </c>
      <c r="D34" s="114">
        <f>SUM(D29:D33)</f>
        <v>26924</v>
      </c>
      <c r="E34" s="114">
        <f>SUM(E29:E33)</f>
        <v>31604</v>
      </c>
      <c r="F34" s="114">
        <f>SUM(F29:F33)</f>
        <v>42149</v>
      </c>
      <c r="G34" s="114">
        <f>SUM(G29:G33)</f>
        <v>50021</v>
      </c>
    </row>
    <row r="35" spans="2:7" x14ac:dyDescent="0.35">
      <c r="B35" s="38" t="s">
        <v>53</v>
      </c>
      <c r="C35" s="42"/>
      <c r="D35" s="42"/>
      <c r="E35" s="42"/>
      <c r="F35" s="43"/>
      <c r="G35" s="43"/>
    </row>
    <row r="36" spans="2:7" x14ac:dyDescent="0.35">
      <c r="B36" s="39" t="s">
        <v>194</v>
      </c>
      <c r="C36" s="40">
        <v>2170</v>
      </c>
      <c r="D36" s="40">
        <v>2122</v>
      </c>
      <c r="E36" s="40">
        <v>2124</v>
      </c>
      <c r="F36" s="40">
        <v>2098</v>
      </c>
      <c r="G36" s="40">
        <v>2069</v>
      </c>
    </row>
    <row r="37" spans="2:7" x14ac:dyDescent="0.35">
      <c r="B37" s="39" t="s">
        <v>193</v>
      </c>
      <c r="C37" s="40">
        <v>62836</v>
      </c>
      <c r="D37" s="40">
        <v>63722</v>
      </c>
      <c r="E37" s="40">
        <v>74658</v>
      </c>
      <c r="F37" s="40">
        <v>73638</v>
      </c>
      <c r="G37" s="40">
        <v>73726</v>
      </c>
    </row>
    <row r="38" spans="2:7" x14ac:dyDescent="0.35">
      <c r="B38" s="70" t="s">
        <v>195</v>
      </c>
      <c r="C38" s="50">
        <f>SUM(C36:C37)</f>
        <v>65006</v>
      </c>
      <c r="D38" s="50">
        <f t="shared" ref="D38:G38" si="1">SUM(D36:D37)</f>
        <v>65844</v>
      </c>
      <c r="E38" s="50">
        <f t="shared" si="1"/>
        <v>76782</v>
      </c>
      <c r="F38" s="50">
        <f t="shared" si="1"/>
        <v>75736</v>
      </c>
      <c r="G38" s="50">
        <f t="shared" si="1"/>
        <v>75795</v>
      </c>
    </row>
    <row r="39" spans="2:7" ht="13.9" x14ac:dyDescent="0.4">
      <c r="B39" s="117" t="s">
        <v>55</v>
      </c>
      <c r="C39" s="118">
        <f>C38+C34</f>
        <v>84738</v>
      </c>
      <c r="D39" s="118">
        <f>D38+D34</f>
        <v>92768</v>
      </c>
      <c r="E39" s="118">
        <f>E38+E34</f>
        <v>108386</v>
      </c>
      <c r="F39" s="118">
        <f>F38+F34</f>
        <v>117885</v>
      </c>
      <c r="G39" s="118">
        <f>G38+G34</f>
        <v>125816</v>
      </c>
    </row>
    <row r="40" spans="2:7" ht="13.9" thickBot="1" x14ac:dyDescent="0.4">
      <c r="B40" s="33"/>
      <c r="C40" s="45"/>
      <c r="D40" s="45"/>
      <c r="E40" s="45"/>
      <c r="F40" s="33"/>
      <c r="G40" s="33"/>
    </row>
    <row r="42" spans="2:7" x14ac:dyDescent="0.35">
      <c r="B42" s="37" t="s">
        <v>104</v>
      </c>
      <c r="C42" s="51">
        <f>C39-C20</f>
        <v>0</v>
      </c>
      <c r="D42" s="51">
        <f>D39-D20</f>
        <v>0</v>
      </c>
      <c r="E42" s="51">
        <f>E39-E20</f>
        <v>0</v>
      </c>
      <c r="F42" s="51">
        <f>F39-F20</f>
        <v>0</v>
      </c>
      <c r="G42" s="51">
        <f>G39-G20</f>
        <v>0</v>
      </c>
    </row>
    <row r="157" spans="1:7" ht="13.9" x14ac:dyDescent="0.4">
      <c r="A157" s="8"/>
      <c r="B157" s="31"/>
      <c r="C157" s="31"/>
      <c r="D157" s="31"/>
      <c r="E157" s="31"/>
      <c r="F157" s="31"/>
      <c r="G157" s="31"/>
    </row>
    <row r="158" spans="1:7" ht="13.9" x14ac:dyDescent="0.4">
      <c r="A158" s="11"/>
      <c r="B158" s="31"/>
      <c r="C158" s="31"/>
      <c r="D158" s="31"/>
      <c r="E158" s="31"/>
      <c r="F158" s="31"/>
      <c r="G158" s="31"/>
    </row>
    <row r="159" spans="1:7" x14ac:dyDescent="0.35">
      <c r="A159" s="9"/>
      <c r="B159" s="31"/>
      <c r="C159" s="31"/>
      <c r="D159" s="31"/>
      <c r="E159" s="31"/>
      <c r="F159" s="31"/>
      <c r="G159" s="31"/>
    </row>
    <row r="160" spans="1:7" x14ac:dyDescent="0.35">
      <c r="A160" s="9"/>
      <c r="B160" s="31"/>
      <c r="C160" s="31"/>
      <c r="D160" s="31"/>
      <c r="E160" s="31"/>
      <c r="F160" s="31"/>
      <c r="G160" s="31"/>
    </row>
    <row r="161" spans="1:7" x14ac:dyDescent="0.35">
      <c r="A161" s="9"/>
      <c r="B161" s="31"/>
      <c r="C161" s="31"/>
      <c r="D161" s="31"/>
      <c r="E161" s="31"/>
      <c r="F161" s="31"/>
      <c r="G161" s="3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E9F0-6834-41D6-BD8F-CF4D03C3D370}">
  <sheetPr>
    <tabColor theme="0" tint="-0.14999847407452621"/>
  </sheetPr>
  <dimension ref="A1:L74"/>
  <sheetViews>
    <sheetView showGridLines="0" topLeftCell="A28" zoomScale="90" zoomScaleNormal="90" workbookViewId="0">
      <selection activeCell="C48" sqref="C48"/>
    </sheetView>
  </sheetViews>
  <sheetFormatPr defaultColWidth="10.53125" defaultRowHeight="14.25" x14ac:dyDescent="0.45"/>
  <cols>
    <col min="1" max="1" width="2.53125" customWidth="1"/>
    <col min="2" max="2" width="61" style="20" bestFit="1" customWidth="1"/>
    <col min="3" max="7" width="10.53125" style="20"/>
  </cols>
  <sheetData>
    <row r="1" spans="1:7" ht="22.5" x14ac:dyDescent="0.6">
      <c r="A1" s="1">
        <f>'P&amp;L'!A1</f>
        <v>0</v>
      </c>
      <c r="B1" s="13"/>
      <c r="C1" s="13"/>
      <c r="D1" s="13"/>
      <c r="E1" s="21"/>
      <c r="F1" s="13"/>
      <c r="G1" s="13"/>
    </row>
    <row r="2" spans="1:7" x14ac:dyDescent="0.45">
      <c r="A2" s="9"/>
      <c r="B2" s="14"/>
      <c r="C2" s="14"/>
      <c r="D2" s="14"/>
      <c r="E2" s="14"/>
      <c r="F2" s="14"/>
      <c r="G2" s="14"/>
    </row>
    <row r="3" spans="1:7" ht="15.4" x14ac:dyDescent="0.45">
      <c r="A3" s="3"/>
      <c r="B3" s="14"/>
      <c r="C3" s="14"/>
      <c r="D3" s="14"/>
      <c r="E3" s="14"/>
      <c r="F3" s="14"/>
      <c r="G3" s="14"/>
    </row>
    <row r="4" spans="1:7" x14ac:dyDescent="0.45">
      <c r="A4" s="2"/>
      <c r="B4" s="15"/>
      <c r="C4" s="15"/>
      <c r="D4" s="15"/>
      <c r="E4" s="15"/>
      <c r="F4" s="15"/>
      <c r="G4" s="15"/>
    </row>
    <row r="5" spans="1:7" ht="14.65" thickBot="1" x14ac:dyDescent="0.5">
      <c r="A5" s="12"/>
      <c r="B5" s="152" t="s">
        <v>0</v>
      </c>
      <c r="C5" s="22" t="s">
        <v>203</v>
      </c>
      <c r="D5" s="22" t="s">
        <v>204</v>
      </c>
      <c r="E5" s="22" t="s">
        <v>205</v>
      </c>
      <c r="F5" s="22" t="s">
        <v>206</v>
      </c>
      <c r="G5" s="22" t="s">
        <v>207</v>
      </c>
    </row>
    <row r="6" spans="1:7" x14ac:dyDescent="0.45">
      <c r="A6" s="12"/>
      <c r="B6" s="17" t="s">
        <v>87</v>
      </c>
      <c r="C6" s="16"/>
      <c r="D6" s="16"/>
      <c r="E6" s="17"/>
      <c r="F6" s="16"/>
      <c r="G6" s="16"/>
    </row>
    <row r="7" spans="1:7" x14ac:dyDescent="0.45">
      <c r="A7" s="12"/>
      <c r="B7" s="16" t="s">
        <v>24</v>
      </c>
      <c r="C7" s="23">
        <v>15410</v>
      </c>
      <c r="D7" s="23">
        <v>16639</v>
      </c>
      <c r="E7" s="23">
        <v>19423</v>
      </c>
      <c r="F7" s="23">
        <v>22146</v>
      </c>
      <c r="G7" s="23">
        <v>24108</v>
      </c>
    </row>
    <row r="8" spans="1:7" x14ac:dyDescent="0.45">
      <c r="A8" s="12"/>
      <c r="B8" s="17" t="s">
        <v>106</v>
      </c>
      <c r="C8" s="24"/>
      <c r="D8" s="16"/>
      <c r="E8" s="16"/>
      <c r="F8" s="16"/>
      <c r="G8" s="16"/>
    </row>
    <row r="9" spans="1:7" x14ac:dyDescent="0.45">
      <c r="A9" s="12"/>
      <c r="B9" s="18" t="s">
        <v>88</v>
      </c>
      <c r="C9" s="71">
        <v>5631</v>
      </c>
      <c r="D9" s="71">
        <v>5368</v>
      </c>
      <c r="E9" s="71">
        <v>7205</v>
      </c>
      <c r="F9" s="71">
        <v>7964</v>
      </c>
      <c r="G9" s="71">
        <v>9214</v>
      </c>
    </row>
    <row r="10" spans="1:7" x14ac:dyDescent="0.45">
      <c r="A10" s="12"/>
      <c r="B10" s="18" t="s">
        <v>89</v>
      </c>
      <c r="C10" s="71">
        <v>2011</v>
      </c>
      <c r="D10" s="71">
        <v>2893</v>
      </c>
      <c r="E10" s="71">
        <v>3267</v>
      </c>
      <c r="F10" s="71">
        <v>3476</v>
      </c>
      <c r="G10" s="71">
        <v>4225</v>
      </c>
    </row>
    <row r="11" spans="1:7" x14ac:dyDescent="0.45">
      <c r="A11" s="12"/>
      <c r="B11" s="18" t="s">
        <v>90</v>
      </c>
      <c r="C11" s="71">
        <v>-2052</v>
      </c>
      <c r="D11" s="71">
        <v>-1613</v>
      </c>
      <c r="E11" s="71">
        <v>-1615</v>
      </c>
      <c r="F11" s="71">
        <v>-1645</v>
      </c>
      <c r="G11" s="71">
        <v>-1817</v>
      </c>
    </row>
    <row r="12" spans="1:7" x14ac:dyDescent="0.45">
      <c r="A12" s="12"/>
      <c r="B12" s="18" t="s">
        <v>91</v>
      </c>
      <c r="C12" s="71">
        <v>0</v>
      </c>
      <c r="D12" s="71">
        <v>170</v>
      </c>
      <c r="E12" s="71">
        <v>195</v>
      </c>
      <c r="F12" s="71">
        <v>200</v>
      </c>
      <c r="G12" s="71">
        <v>284</v>
      </c>
    </row>
    <row r="13" spans="1:7" x14ac:dyDescent="0.45">
      <c r="A13" s="12"/>
      <c r="B13" s="18" t="s">
        <v>92</v>
      </c>
      <c r="C13" s="71">
        <v>239</v>
      </c>
      <c r="D13" s="71">
        <v>161</v>
      </c>
      <c r="E13" s="71">
        <v>190</v>
      </c>
      <c r="F13" s="71">
        <v>170</v>
      </c>
      <c r="G13" s="71">
        <v>283</v>
      </c>
    </row>
    <row r="14" spans="1:7" x14ac:dyDescent="0.45">
      <c r="A14" s="12"/>
      <c r="B14" s="18" t="s">
        <v>142</v>
      </c>
      <c r="C14" s="71">
        <v>270</v>
      </c>
      <c r="D14" s="71">
        <v>0</v>
      </c>
      <c r="E14" s="71">
        <v>0</v>
      </c>
      <c r="F14" s="71">
        <v>0</v>
      </c>
      <c r="G14" s="71">
        <v>0</v>
      </c>
    </row>
    <row r="15" spans="1:7" x14ac:dyDescent="0.45">
      <c r="A15" s="12"/>
      <c r="B15" s="18" t="s">
        <v>143</v>
      </c>
      <c r="C15" s="71">
        <v>451</v>
      </c>
      <c r="D15" s="71">
        <v>0</v>
      </c>
      <c r="E15" s="71">
        <v>0</v>
      </c>
      <c r="F15" s="71">
        <v>0</v>
      </c>
      <c r="G15" s="71">
        <v>0</v>
      </c>
    </row>
    <row r="16" spans="1:7" x14ac:dyDescent="0.45">
      <c r="A16" s="12"/>
      <c r="B16" s="18" t="s">
        <v>144</v>
      </c>
      <c r="C16" s="71">
        <v>66</v>
      </c>
      <c r="D16" s="71">
        <v>184</v>
      </c>
      <c r="E16" s="71">
        <v>-62</v>
      </c>
      <c r="F16" s="71">
        <v>119</v>
      </c>
      <c r="G16" s="71">
        <v>161</v>
      </c>
    </row>
    <row r="17" spans="1:12" x14ac:dyDescent="0.45">
      <c r="A17" s="12"/>
      <c r="B17" s="18" t="s">
        <v>145</v>
      </c>
      <c r="C17" s="71">
        <v>202</v>
      </c>
      <c r="D17" s="71">
        <v>249</v>
      </c>
      <c r="E17" s="71">
        <v>333</v>
      </c>
      <c r="F17" s="71">
        <v>415</v>
      </c>
      <c r="G17" s="71">
        <v>519</v>
      </c>
    </row>
    <row r="18" spans="1:12" x14ac:dyDescent="0.45">
      <c r="A18" s="12"/>
      <c r="B18" s="18" t="s">
        <v>146</v>
      </c>
      <c r="C18" s="71">
        <v>-102</v>
      </c>
      <c r="D18" s="71">
        <v>-131</v>
      </c>
      <c r="E18" s="71">
        <v>-91</v>
      </c>
      <c r="F18" s="71">
        <v>76</v>
      </c>
      <c r="G18" s="71">
        <v>628</v>
      </c>
    </row>
    <row r="19" spans="1:12" x14ac:dyDescent="0.45">
      <c r="A19" s="12"/>
      <c r="B19" s="16" t="s">
        <v>93</v>
      </c>
      <c r="C19" s="25"/>
      <c r="D19" s="16"/>
      <c r="E19" s="16"/>
      <c r="F19" s="16"/>
      <c r="G19" s="16"/>
    </row>
    <row r="20" spans="1:12" x14ac:dyDescent="0.45">
      <c r="A20" s="12"/>
      <c r="B20" s="18" t="s">
        <v>147</v>
      </c>
      <c r="C20" s="26">
        <v>-2881</v>
      </c>
      <c r="D20" s="26">
        <v>-3861</v>
      </c>
      <c r="E20" s="26">
        <v>-1835</v>
      </c>
      <c r="F20" s="26">
        <v>-7937</v>
      </c>
      <c r="G20" s="26">
        <v>-7076</v>
      </c>
    </row>
    <row r="21" spans="1:12" x14ac:dyDescent="0.45">
      <c r="A21" s="12"/>
      <c r="B21" s="18" t="s">
        <v>148</v>
      </c>
      <c r="C21" s="26">
        <v>-700</v>
      </c>
      <c r="D21" s="26">
        <v>76</v>
      </c>
      <c r="E21" s="26">
        <v>-534</v>
      </c>
      <c r="F21" s="26">
        <v>-1914</v>
      </c>
      <c r="G21" s="26">
        <v>-3108</v>
      </c>
    </row>
    <row r="22" spans="1:12" x14ac:dyDescent="0.45">
      <c r="A22" s="12"/>
      <c r="B22" s="18" t="s">
        <v>149</v>
      </c>
      <c r="C22" s="26">
        <v>916</v>
      </c>
      <c r="D22" s="26">
        <v>-373</v>
      </c>
      <c r="E22" s="26">
        <v>-245</v>
      </c>
      <c r="F22" s="26">
        <v>1489</v>
      </c>
      <c r="G22" s="26">
        <v>-279</v>
      </c>
    </row>
    <row r="23" spans="1:12" x14ac:dyDescent="0.45">
      <c r="A23" s="12"/>
      <c r="B23" s="18" t="s">
        <v>150</v>
      </c>
      <c r="C23" s="26">
        <v>2212</v>
      </c>
      <c r="D23" s="26">
        <v>1791</v>
      </c>
      <c r="E23" s="26">
        <v>3382</v>
      </c>
      <c r="F23" s="26">
        <v>6938</v>
      </c>
      <c r="G23" s="26">
        <v>4119</v>
      </c>
    </row>
    <row r="24" spans="1:12" x14ac:dyDescent="0.45">
      <c r="A24" s="12"/>
      <c r="B24" s="19" t="s">
        <v>151</v>
      </c>
      <c r="C24" s="27">
        <v>21673</v>
      </c>
      <c r="D24" s="27">
        <v>21553</v>
      </c>
      <c r="E24" s="27">
        <v>29613</v>
      </c>
      <c r="F24" s="27">
        <v>31497</v>
      </c>
      <c r="G24" s="27">
        <v>31261</v>
      </c>
    </row>
    <row r="25" spans="1:12" x14ac:dyDescent="0.45">
      <c r="A25" s="12"/>
      <c r="B25" s="18" t="s">
        <v>152</v>
      </c>
      <c r="C25" s="26">
        <v>-6832</v>
      </c>
      <c r="D25" s="26">
        <v>-4550</v>
      </c>
      <c r="E25" s="26">
        <v>-6389</v>
      </c>
      <c r="F25" s="26">
        <v>-7612</v>
      </c>
      <c r="G25" s="26">
        <v>-8794</v>
      </c>
    </row>
    <row r="26" spans="1:12" x14ac:dyDescent="0.45">
      <c r="A26" s="12"/>
      <c r="B26" s="119" t="s">
        <v>94</v>
      </c>
      <c r="C26" s="119">
        <v>14841</v>
      </c>
      <c r="D26" s="119">
        <v>17003</v>
      </c>
      <c r="E26" s="119">
        <v>23224</v>
      </c>
      <c r="F26" s="119">
        <v>23885</v>
      </c>
      <c r="G26" s="119">
        <v>22467</v>
      </c>
      <c r="I26" s="82"/>
      <c r="J26" s="82"/>
      <c r="K26" s="82"/>
      <c r="L26" s="82"/>
    </row>
    <row r="27" spans="1:12" x14ac:dyDescent="0.45">
      <c r="A27" s="12"/>
      <c r="B27" s="16"/>
      <c r="C27" s="16"/>
      <c r="D27" s="16"/>
      <c r="E27" s="16"/>
      <c r="F27" s="16"/>
      <c r="G27" s="16"/>
    </row>
    <row r="28" spans="1:12" x14ac:dyDescent="0.45">
      <c r="A28" s="12"/>
      <c r="B28" s="17" t="s">
        <v>95</v>
      </c>
      <c r="C28" s="25" t="s">
        <v>96</v>
      </c>
      <c r="D28" s="16"/>
      <c r="E28" s="16"/>
      <c r="F28" s="16"/>
      <c r="G28" s="16"/>
    </row>
    <row r="29" spans="1:12" x14ac:dyDescent="0.45">
      <c r="A29" s="12"/>
      <c r="B29" s="18" t="s">
        <v>153</v>
      </c>
      <c r="C29" s="26">
        <v>-2445</v>
      </c>
      <c r="D29" s="26">
        <v>-3307</v>
      </c>
      <c r="E29" s="26">
        <v>-2107</v>
      </c>
      <c r="F29" s="26">
        <v>-2161</v>
      </c>
      <c r="G29" s="26">
        <v>-2579</v>
      </c>
    </row>
    <row r="30" spans="1:12" x14ac:dyDescent="0.45">
      <c r="A30" s="12"/>
      <c r="B30" s="18" t="s">
        <v>154</v>
      </c>
      <c r="C30" s="26">
        <v>-24</v>
      </c>
      <c r="D30" s="26">
        <v>-108</v>
      </c>
      <c r="E30" s="26">
        <v>-725</v>
      </c>
      <c r="F30" s="26">
        <v>-906</v>
      </c>
      <c r="G30" s="26">
        <v>-996</v>
      </c>
    </row>
    <row r="31" spans="1:12" x14ac:dyDescent="0.45">
      <c r="A31" s="12"/>
      <c r="B31" s="18" t="s">
        <v>155</v>
      </c>
      <c r="C31" s="26">
        <v>14</v>
      </c>
      <c r="D31" s="26">
        <v>0</v>
      </c>
      <c r="E31" s="26">
        <v>0</v>
      </c>
      <c r="F31" s="26">
        <v>0</v>
      </c>
      <c r="G31" s="26">
        <v>0</v>
      </c>
    </row>
    <row r="32" spans="1:12" x14ac:dyDescent="0.45">
      <c r="A32" s="12"/>
      <c r="B32" s="18" t="s">
        <v>156</v>
      </c>
      <c r="C32" s="26">
        <v>0</v>
      </c>
      <c r="D32" s="26">
        <v>0</v>
      </c>
      <c r="E32" s="26">
        <v>518</v>
      </c>
      <c r="F32" s="26">
        <v>753</v>
      </c>
      <c r="G32" s="26">
        <v>762</v>
      </c>
    </row>
    <row r="33" spans="1:7" x14ac:dyDescent="0.45">
      <c r="A33" s="12"/>
      <c r="B33" s="18" t="s">
        <v>157</v>
      </c>
      <c r="C33" s="26">
        <v>1557</v>
      </c>
      <c r="D33" s="26">
        <v>1929</v>
      </c>
      <c r="E33" s="26">
        <v>1418</v>
      </c>
      <c r="F33" s="26">
        <v>1898</v>
      </c>
      <c r="G33" s="26">
        <v>1525</v>
      </c>
    </row>
    <row r="34" spans="1:7" x14ac:dyDescent="0.45">
      <c r="A34" s="12"/>
      <c r="B34" s="18" t="s">
        <v>158</v>
      </c>
      <c r="C34" s="26">
        <v>-550</v>
      </c>
      <c r="D34" s="26">
        <v>-1860</v>
      </c>
      <c r="E34" s="26">
        <v>-1221</v>
      </c>
      <c r="F34" s="26">
        <v>0</v>
      </c>
      <c r="G34" s="26">
        <v>-910</v>
      </c>
    </row>
    <row r="35" spans="1:7" x14ac:dyDescent="0.45">
      <c r="A35" s="12"/>
      <c r="B35" s="18" t="s">
        <v>159</v>
      </c>
      <c r="C35" s="26">
        <v>-18</v>
      </c>
      <c r="D35" s="26">
        <v>-6</v>
      </c>
      <c r="E35" s="26">
        <v>-158</v>
      </c>
      <c r="F35" s="26">
        <v>-53</v>
      </c>
      <c r="G35" s="26">
        <v>-60</v>
      </c>
    </row>
    <row r="36" spans="1:7" x14ac:dyDescent="0.45">
      <c r="A36" s="12"/>
      <c r="B36" s="18" t="s">
        <v>160</v>
      </c>
      <c r="C36" s="26">
        <v>-206</v>
      </c>
      <c r="D36" s="26">
        <v>0</v>
      </c>
      <c r="E36" s="26">
        <v>0</v>
      </c>
      <c r="F36" s="26">
        <v>0</v>
      </c>
      <c r="G36" s="26">
        <v>0</v>
      </c>
    </row>
    <row r="37" spans="1:7" x14ac:dyDescent="0.45">
      <c r="A37" s="12"/>
      <c r="B37" s="18" t="s">
        <v>161</v>
      </c>
      <c r="C37" s="26">
        <v>-257</v>
      </c>
      <c r="D37" s="26">
        <v>0</v>
      </c>
      <c r="E37" s="26">
        <v>0</v>
      </c>
      <c r="F37" s="26">
        <v>-420</v>
      </c>
      <c r="G37" s="26">
        <v>-483</v>
      </c>
    </row>
    <row r="38" spans="1:7" x14ac:dyDescent="0.45">
      <c r="A38" s="12"/>
      <c r="B38" s="18" t="s">
        <v>162</v>
      </c>
      <c r="C38" s="26">
        <v>0</v>
      </c>
      <c r="D38" s="26">
        <v>257</v>
      </c>
      <c r="E38" s="26">
        <v>0</v>
      </c>
      <c r="F38" s="26">
        <v>420</v>
      </c>
      <c r="G38" s="26">
        <v>483</v>
      </c>
    </row>
    <row r="39" spans="1:7" x14ac:dyDescent="0.45">
      <c r="A39" s="12"/>
      <c r="B39" s="18" t="s">
        <v>163</v>
      </c>
      <c r="C39" s="26">
        <v>0</v>
      </c>
      <c r="D39" s="26">
        <v>46</v>
      </c>
      <c r="E39" s="26">
        <v>49</v>
      </c>
      <c r="F39" s="26">
        <v>67</v>
      </c>
      <c r="G39" s="26">
        <v>71</v>
      </c>
    </row>
    <row r="40" spans="1:7" x14ac:dyDescent="0.45">
      <c r="A40" s="12"/>
      <c r="B40" s="18" t="s">
        <v>164</v>
      </c>
      <c r="C40" s="26">
        <v>0</v>
      </c>
      <c r="D40" s="26">
        <v>0</v>
      </c>
      <c r="E40" s="26">
        <v>-45</v>
      </c>
      <c r="F40" s="26">
        <v>-22</v>
      </c>
      <c r="G40" s="26">
        <v>0</v>
      </c>
    </row>
    <row r="41" spans="1:7" x14ac:dyDescent="0.45">
      <c r="A41" s="12"/>
      <c r="B41" s="18" t="s">
        <v>165</v>
      </c>
      <c r="C41" s="26">
        <v>-82294</v>
      </c>
      <c r="D41" s="26">
        <v>-38596</v>
      </c>
      <c r="E41" s="26">
        <v>-46738</v>
      </c>
      <c r="F41" s="26">
        <v>-64135</v>
      </c>
      <c r="G41" s="26">
        <v>-86247</v>
      </c>
    </row>
    <row r="42" spans="1:7" x14ac:dyDescent="0.45">
      <c r="A42" s="12"/>
      <c r="B42" s="18" t="s">
        <v>166</v>
      </c>
      <c r="C42" s="26">
        <v>83648</v>
      </c>
      <c r="D42" s="26">
        <v>41406</v>
      </c>
      <c r="E42" s="26">
        <v>41553</v>
      </c>
      <c r="F42" s="26">
        <v>58143</v>
      </c>
      <c r="G42" s="26">
        <v>87225</v>
      </c>
    </row>
    <row r="43" spans="1:7" x14ac:dyDescent="0.45">
      <c r="A43" s="12"/>
      <c r="B43" s="119" t="s">
        <v>97</v>
      </c>
      <c r="C43" s="119">
        <v>-575</v>
      </c>
      <c r="D43" s="119">
        <v>-239</v>
      </c>
      <c r="E43" s="119">
        <v>-7456</v>
      </c>
      <c r="F43" s="119">
        <v>-6416</v>
      </c>
      <c r="G43" s="119">
        <v>-1209</v>
      </c>
    </row>
    <row r="44" spans="1:7" x14ac:dyDescent="0.45">
      <c r="A44" s="12"/>
      <c r="B44" s="16"/>
      <c r="C44" s="25"/>
      <c r="D44" s="16"/>
      <c r="E44" s="16"/>
      <c r="F44" s="16"/>
      <c r="G44" s="16"/>
    </row>
    <row r="45" spans="1:7" x14ac:dyDescent="0.45">
      <c r="A45" s="12"/>
      <c r="B45" s="17" t="s">
        <v>98</v>
      </c>
      <c r="C45" s="25" t="s">
        <v>96</v>
      </c>
      <c r="D45" s="16"/>
      <c r="E45" s="16"/>
      <c r="F45" s="16"/>
      <c r="G45" s="16"/>
    </row>
    <row r="46" spans="1:7" x14ac:dyDescent="0.45">
      <c r="A46" s="12"/>
      <c r="B46" s="18" t="s">
        <v>48</v>
      </c>
      <c r="C46" s="26"/>
      <c r="D46" s="26"/>
      <c r="E46" s="26"/>
      <c r="F46" s="26"/>
      <c r="G46" s="26"/>
    </row>
    <row r="47" spans="1:7" x14ac:dyDescent="0.45">
      <c r="A47" s="12"/>
      <c r="B47" s="18" t="s">
        <v>167</v>
      </c>
      <c r="C47" s="26">
        <v>0</v>
      </c>
      <c r="D47" s="26">
        <v>-571</v>
      </c>
      <c r="E47" s="26">
        <v>-698</v>
      </c>
      <c r="F47" s="26">
        <v>-915</v>
      </c>
      <c r="G47" s="26">
        <v>-1231</v>
      </c>
    </row>
    <row r="48" spans="1:7" x14ac:dyDescent="0.45">
      <c r="A48" s="12"/>
      <c r="B48" s="18" t="s">
        <v>168</v>
      </c>
      <c r="C48" s="26">
        <v>-13705</v>
      </c>
      <c r="D48" s="26">
        <v>-9515</v>
      </c>
      <c r="E48" s="26">
        <v>-9117</v>
      </c>
      <c r="F48" s="26">
        <v>-12652</v>
      </c>
      <c r="G48" s="26">
        <v>-13631</v>
      </c>
    </row>
    <row r="49" spans="1:7" x14ac:dyDescent="0.45">
      <c r="A49" s="12"/>
      <c r="B49" s="18" t="s">
        <v>169</v>
      </c>
      <c r="C49" s="26">
        <v>0</v>
      </c>
      <c r="D49" s="26">
        <v>-33</v>
      </c>
      <c r="E49" s="26">
        <v>-20</v>
      </c>
      <c r="F49" s="26">
        <v>-79</v>
      </c>
      <c r="G49" s="26">
        <v>-22</v>
      </c>
    </row>
    <row r="50" spans="1:7" x14ac:dyDescent="0.45">
      <c r="A50" s="12"/>
      <c r="B50" s="18" t="s">
        <v>170</v>
      </c>
      <c r="C50" s="26">
        <v>6</v>
      </c>
      <c r="D50" s="26">
        <v>6</v>
      </c>
      <c r="E50" s="26">
        <v>15</v>
      </c>
      <c r="F50" s="26">
        <v>21</v>
      </c>
      <c r="G50" s="26">
        <v>35</v>
      </c>
    </row>
    <row r="51" spans="1:7" x14ac:dyDescent="0.45">
      <c r="A51" s="12"/>
      <c r="B51" s="18" t="s">
        <v>171</v>
      </c>
      <c r="C51" s="26">
        <v>0</v>
      </c>
      <c r="D51" s="26">
        <v>0</v>
      </c>
      <c r="E51" s="26">
        <v>-49</v>
      </c>
      <c r="F51" s="26">
        <v>-2</v>
      </c>
      <c r="G51" s="26">
        <v>0</v>
      </c>
    </row>
    <row r="52" spans="1:7" x14ac:dyDescent="0.45">
      <c r="A52" s="12"/>
      <c r="B52" s="18" t="s">
        <v>163</v>
      </c>
      <c r="C52" s="26">
        <v>0</v>
      </c>
      <c r="D52" s="26">
        <v>0</v>
      </c>
      <c r="E52" s="26">
        <v>83</v>
      </c>
      <c r="F52" s="26">
        <v>236</v>
      </c>
      <c r="G52" s="26">
        <v>132</v>
      </c>
    </row>
    <row r="53" spans="1:7" x14ac:dyDescent="0.45">
      <c r="A53" s="12"/>
      <c r="B53" s="18" t="s">
        <v>164</v>
      </c>
      <c r="C53" s="26">
        <v>0</v>
      </c>
      <c r="D53" s="26">
        <v>0</v>
      </c>
      <c r="E53" s="26">
        <v>0</v>
      </c>
      <c r="F53" s="26">
        <v>-126</v>
      </c>
      <c r="G53" s="26">
        <v>-479</v>
      </c>
    </row>
    <row r="54" spans="1:7" x14ac:dyDescent="0.45">
      <c r="A54" s="12"/>
      <c r="B54" s="18" t="s">
        <v>172</v>
      </c>
      <c r="C54" s="26">
        <v>-813</v>
      </c>
      <c r="D54" s="26">
        <v>-7478</v>
      </c>
      <c r="E54" s="26">
        <v>0</v>
      </c>
      <c r="F54" s="26">
        <v>-11125</v>
      </c>
      <c r="G54" s="26">
        <v>-11499</v>
      </c>
    </row>
    <row r="55" spans="1:7" x14ac:dyDescent="0.45">
      <c r="A55" s="12"/>
      <c r="B55" s="119" t="s">
        <v>99</v>
      </c>
      <c r="C55" s="119">
        <v>-14512</v>
      </c>
      <c r="D55" s="119">
        <v>-17591</v>
      </c>
      <c r="E55" s="119">
        <v>-9786</v>
      </c>
      <c r="F55" s="119">
        <v>-24642</v>
      </c>
      <c r="G55" s="119">
        <v>-26695</v>
      </c>
    </row>
    <row r="56" spans="1:7" x14ac:dyDescent="0.45">
      <c r="A56" s="12"/>
      <c r="B56" s="16"/>
      <c r="C56" s="25"/>
      <c r="D56" s="16"/>
      <c r="E56" s="16"/>
      <c r="F56" s="16"/>
      <c r="G56" s="16"/>
    </row>
    <row r="57" spans="1:7" x14ac:dyDescent="0.45">
      <c r="A57" s="12"/>
      <c r="B57" s="16" t="s">
        <v>100</v>
      </c>
      <c r="C57" s="28">
        <v>-57</v>
      </c>
      <c r="D57" s="28">
        <v>-92</v>
      </c>
      <c r="E57" s="28">
        <v>83</v>
      </c>
      <c r="F57" s="28">
        <v>-69</v>
      </c>
      <c r="G57" s="28">
        <v>138</v>
      </c>
    </row>
    <row r="58" spans="1:7" x14ac:dyDescent="0.45">
      <c r="A58" s="12"/>
      <c r="B58" s="16" t="s">
        <v>101</v>
      </c>
      <c r="C58" s="25">
        <v>-303</v>
      </c>
      <c r="D58" s="25">
        <v>-919</v>
      </c>
      <c r="E58" s="25">
        <v>6065</v>
      </c>
      <c r="F58" s="25">
        <v>-7242</v>
      </c>
      <c r="G58" s="25">
        <v>-5299</v>
      </c>
    </row>
    <row r="59" spans="1:7" x14ac:dyDescent="0.45">
      <c r="A59" s="12"/>
      <c r="B59" s="16"/>
      <c r="C59" s="25"/>
      <c r="D59" s="16"/>
      <c r="E59" s="16"/>
      <c r="F59" s="16"/>
      <c r="G59" s="16"/>
    </row>
    <row r="60" spans="1:7" x14ac:dyDescent="0.45">
      <c r="A60" s="12"/>
      <c r="B60" s="16" t="s">
        <v>102</v>
      </c>
      <c r="C60" s="28">
        <v>19871</v>
      </c>
      <c r="D60" s="29">
        <v>19568</v>
      </c>
      <c r="E60" s="29">
        <v>18649</v>
      </c>
      <c r="F60" s="29">
        <v>24714</v>
      </c>
      <c r="G60" s="29">
        <v>17472</v>
      </c>
    </row>
    <row r="61" spans="1:7" ht="14.65" thickBot="1" x14ac:dyDescent="0.5">
      <c r="A61" s="12"/>
      <c r="B61" s="120" t="s">
        <v>103</v>
      </c>
      <c r="C61" s="120">
        <v>19568</v>
      </c>
      <c r="D61" s="120">
        <v>18649</v>
      </c>
      <c r="E61" s="120">
        <v>24714</v>
      </c>
      <c r="F61" s="120">
        <v>17472</v>
      </c>
      <c r="G61" s="120">
        <v>12173</v>
      </c>
    </row>
    <row r="62" spans="1:7" ht="14.65" thickTop="1" x14ac:dyDescent="0.45">
      <c r="A62" s="12"/>
      <c r="B62" s="16"/>
      <c r="C62" s="24"/>
      <c r="D62" s="16"/>
      <c r="E62" s="16"/>
      <c r="F62" s="16"/>
      <c r="G62" s="16"/>
    </row>
    <row r="63" spans="1:7" x14ac:dyDescent="0.45">
      <c r="A63" s="12"/>
      <c r="B63" s="16"/>
      <c r="C63" s="24"/>
      <c r="D63" s="24"/>
      <c r="E63" s="30"/>
      <c r="F63" s="16"/>
      <c r="G63" s="16"/>
    </row>
    <row r="64" spans="1:7" x14ac:dyDescent="0.45">
      <c r="A64" s="8"/>
      <c r="B64" s="14"/>
      <c r="C64" s="14"/>
      <c r="D64" s="14"/>
      <c r="E64" s="14"/>
      <c r="F64" s="14"/>
      <c r="G64" s="14"/>
    </row>
    <row r="65" spans="1:7" ht="15.4" x14ac:dyDescent="0.45">
      <c r="A65" s="10"/>
      <c r="B65" s="14"/>
      <c r="C65" s="14"/>
      <c r="D65" s="14"/>
      <c r="E65" s="14"/>
      <c r="F65" s="14"/>
      <c r="G65" s="14"/>
    </row>
    <row r="66" spans="1:7" x14ac:dyDescent="0.45">
      <c r="A66" s="9"/>
      <c r="B66" s="14"/>
      <c r="C66" s="14"/>
      <c r="D66" s="14"/>
      <c r="E66" s="14"/>
      <c r="F66" s="14"/>
      <c r="G66" s="14"/>
    </row>
    <row r="67" spans="1:7" x14ac:dyDescent="0.45">
      <c r="A67" s="9"/>
      <c r="B67" s="14"/>
      <c r="C67" s="14"/>
      <c r="D67" s="14"/>
      <c r="E67" s="14"/>
      <c r="F67" s="14"/>
      <c r="G67" s="14"/>
    </row>
    <row r="68" spans="1:7" x14ac:dyDescent="0.45">
      <c r="A68" s="9"/>
      <c r="B68" s="14"/>
      <c r="C68" s="14"/>
      <c r="D68" s="14"/>
      <c r="E68" s="14"/>
      <c r="F68" s="14"/>
      <c r="G68" s="14"/>
    </row>
    <row r="69" spans="1:7" x14ac:dyDescent="0.45">
      <c r="A69" s="12"/>
      <c r="B69" s="16"/>
      <c r="C69" s="16"/>
      <c r="D69" s="16"/>
      <c r="E69" s="17"/>
      <c r="F69" s="16"/>
      <c r="G69" s="16"/>
    </row>
    <row r="70" spans="1:7" x14ac:dyDescent="0.45">
      <c r="A70" s="12"/>
      <c r="B70" s="16"/>
      <c r="C70" s="16"/>
      <c r="D70" s="16"/>
      <c r="E70" s="17"/>
      <c r="F70" s="16"/>
      <c r="G70" s="16"/>
    </row>
    <row r="71" spans="1:7" x14ac:dyDescent="0.45">
      <c r="A71" s="12"/>
      <c r="B71" s="16"/>
      <c r="C71" s="16"/>
      <c r="D71" s="16"/>
      <c r="E71" s="17"/>
      <c r="F71" s="16"/>
      <c r="G71" s="16"/>
    </row>
    <row r="72" spans="1:7" x14ac:dyDescent="0.45">
      <c r="A72" s="12"/>
      <c r="B72" s="16"/>
      <c r="C72" s="16"/>
      <c r="D72" s="16"/>
      <c r="E72" s="17"/>
      <c r="F72" s="16"/>
      <c r="G72" s="16"/>
    </row>
    <row r="73" spans="1:7" x14ac:dyDescent="0.45">
      <c r="A73" s="12"/>
      <c r="B73" s="16"/>
      <c r="C73" s="16"/>
      <c r="D73" s="16"/>
      <c r="E73" s="17"/>
      <c r="F73" s="16"/>
      <c r="G73" s="16"/>
    </row>
    <row r="74" spans="1:7" x14ac:dyDescent="0.45">
      <c r="A74" s="12"/>
      <c r="B74" s="16"/>
      <c r="C74" s="16"/>
      <c r="D74" s="16"/>
      <c r="E74" s="17"/>
      <c r="F74" s="16"/>
      <c r="G74" s="1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DD0A-102A-43B1-AC61-32B41D80AC8E}">
  <sheetPr>
    <tabColor rgb="FFFFFF00"/>
  </sheetPr>
  <dimension ref="B1:O35"/>
  <sheetViews>
    <sheetView showGridLines="0" topLeftCell="A24" workbookViewId="0">
      <selection activeCell="F35" sqref="F35"/>
    </sheetView>
  </sheetViews>
  <sheetFormatPr defaultRowHeight="14.25" x14ac:dyDescent="0.45"/>
  <cols>
    <col min="1" max="1" width="2.53125" customWidth="1"/>
    <col min="2" max="2" width="34.265625" bestFit="1" customWidth="1"/>
    <col min="3" max="3" width="17.265625" bestFit="1" customWidth="1"/>
    <col min="4" max="4" width="10.46484375" bestFit="1" customWidth="1"/>
    <col min="5" max="5" width="9.73046875" customWidth="1"/>
    <col min="6" max="6" width="13.265625" customWidth="1"/>
    <col min="7" max="7" width="13.53125" bestFit="1" customWidth="1"/>
    <col min="8" max="8" width="2.53125" customWidth="1"/>
    <col min="9" max="9" width="13.265625" customWidth="1"/>
    <col min="10" max="10" width="14.53125" customWidth="1"/>
    <col min="11" max="11" width="11.265625" customWidth="1"/>
    <col min="12" max="12" width="2.53125" customWidth="1"/>
    <col min="13" max="13" width="10.3984375" bestFit="1" customWidth="1"/>
    <col min="14" max="15" width="11" bestFit="1" customWidth="1"/>
  </cols>
  <sheetData>
    <row r="1" spans="2:15" x14ac:dyDescent="0.45">
      <c r="G1" s="73"/>
      <c r="J1" s="73"/>
    </row>
    <row r="2" spans="2:15" x14ac:dyDescent="0.45">
      <c r="B2" s="121"/>
      <c r="C2" s="121"/>
      <c r="D2" s="122" t="s">
        <v>115</v>
      </c>
      <c r="E2" s="122"/>
      <c r="F2" s="122"/>
      <c r="G2" s="123"/>
      <c r="H2" s="124"/>
      <c r="I2" s="125" t="s">
        <v>116</v>
      </c>
      <c r="J2" s="126"/>
      <c r="K2" s="125"/>
      <c r="L2" s="124"/>
      <c r="M2" s="125" t="s">
        <v>117</v>
      </c>
      <c r="N2" s="122"/>
      <c r="O2" s="122"/>
    </row>
    <row r="3" spans="2:15" ht="26.25" x14ac:dyDescent="0.45">
      <c r="B3" s="127" t="s">
        <v>118</v>
      </c>
      <c r="C3" s="127" t="s">
        <v>119</v>
      </c>
      <c r="D3" s="128" t="s">
        <v>120</v>
      </c>
      <c r="E3" s="128" t="s">
        <v>121</v>
      </c>
      <c r="F3" s="128" t="s">
        <v>122</v>
      </c>
      <c r="G3" s="128" t="s">
        <v>123</v>
      </c>
      <c r="H3" s="124"/>
      <c r="I3" s="128" t="s">
        <v>124</v>
      </c>
      <c r="J3" s="129" t="s">
        <v>125</v>
      </c>
      <c r="K3" s="128" t="s">
        <v>126</v>
      </c>
      <c r="L3" s="124"/>
      <c r="M3" s="128" t="s">
        <v>127</v>
      </c>
      <c r="N3" s="128" t="s">
        <v>128</v>
      </c>
      <c r="O3" s="128" t="s">
        <v>129</v>
      </c>
    </row>
    <row r="4" spans="2:15" x14ac:dyDescent="0.45">
      <c r="B4" s="130">
        <v>1</v>
      </c>
      <c r="C4" s="130" t="s">
        <v>138</v>
      </c>
      <c r="D4" s="131">
        <v>1169198.99</v>
      </c>
      <c r="E4" s="131">
        <v>3204.5</v>
      </c>
      <c r="F4" s="131">
        <v>365.91</v>
      </c>
      <c r="G4" s="132">
        <v>1172558.595</v>
      </c>
      <c r="H4" s="124"/>
      <c r="I4" s="131">
        <v>225458</v>
      </c>
      <c r="J4" s="132">
        <v>62678</v>
      </c>
      <c r="K4" s="131">
        <v>57656</v>
      </c>
      <c r="L4" s="124"/>
      <c r="M4" s="133">
        <f>G4/I4</f>
        <v>5.2007850464388046</v>
      </c>
      <c r="N4" s="133">
        <f>D4/J4</f>
        <v>18.654057085420721</v>
      </c>
      <c r="O4" s="132">
        <f>D4/K4</f>
        <v>20.278878000555014</v>
      </c>
    </row>
    <row r="5" spans="2:15" x14ac:dyDescent="0.45">
      <c r="B5" s="130">
        <v>2</v>
      </c>
      <c r="C5" s="130" t="s">
        <v>136</v>
      </c>
      <c r="D5" s="131">
        <v>298958.53999999998</v>
      </c>
      <c r="E5" s="131">
        <v>1138.3</v>
      </c>
      <c r="F5" s="131">
        <v>271.37</v>
      </c>
      <c r="G5" s="132">
        <v>308900.47100000002</v>
      </c>
      <c r="H5" s="124"/>
      <c r="I5" s="131">
        <v>101456</v>
      </c>
      <c r="J5" s="132">
        <v>23986</v>
      </c>
      <c r="K5" s="131">
        <v>19841</v>
      </c>
      <c r="L5" s="124"/>
      <c r="M5" s="133">
        <f>G5/I5</f>
        <v>3.044674252878095</v>
      </c>
      <c r="N5" s="133">
        <f>D5/J5</f>
        <v>12.463876427916283</v>
      </c>
      <c r="O5" s="132">
        <f>D5/K5</f>
        <v>15.067715336928581</v>
      </c>
    </row>
    <row r="6" spans="2:15" x14ac:dyDescent="0.45">
      <c r="B6" s="130">
        <v>3</v>
      </c>
      <c r="C6" s="130" t="s">
        <v>178</v>
      </c>
      <c r="D6" s="131">
        <v>218473.79</v>
      </c>
      <c r="E6" s="131">
        <v>382.95</v>
      </c>
      <c r="F6" s="131">
        <v>548.88</v>
      </c>
      <c r="G6" s="132">
        <v>210193.59599999999</v>
      </c>
      <c r="H6" s="124"/>
      <c r="I6" s="131">
        <v>90487.6</v>
      </c>
      <c r="J6" s="132">
        <v>19113.599999999999</v>
      </c>
      <c r="K6" s="131">
        <v>15773.4</v>
      </c>
      <c r="L6" s="124"/>
      <c r="M6" s="133">
        <f>G6/I6</f>
        <v>2.3228994469960522</v>
      </c>
      <c r="N6" s="133">
        <f>D6/J6</f>
        <v>11.430279486857527</v>
      </c>
      <c r="O6" s="132">
        <f>D6/K6</f>
        <v>13.850773454042884</v>
      </c>
    </row>
    <row r="7" spans="2:15" x14ac:dyDescent="0.45">
      <c r="B7" s="130">
        <v>4</v>
      </c>
      <c r="C7" s="130" t="s">
        <v>137</v>
      </c>
      <c r="D7" s="131">
        <v>146433.51999999999</v>
      </c>
      <c r="E7" s="131">
        <v>4996</v>
      </c>
      <c r="F7" s="131">
        <v>29.59</v>
      </c>
      <c r="G7" s="132">
        <v>147831.63999999998</v>
      </c>
      <c r="H7" s="124"/>
      <c r="I7" s="131">
        <v>33183</v>
      </c>
      <c r="J7" s="132">
        <v>6664.6</v>
      </c>
      <c r="K7" s="131">
        <v>5941.9</v>
      </c>
      <c r="L7" s="124"/>
      <c r="M7" s="133">
        <f>G7/I7</f>
        <v>4.4550414368803297</v>
      </c>
      <c r="N7" s="133">
        <f>D7/J7</f>
        <v>21.971839270173753</v>
      </c>
      <c r="O7" s="132">
        <f>D7/K7</f>
        <v>24.644224911223681</v>
      </c>
    </row>
    <row r="8" spans="2:15" x14ac:dyDescent="0.45">
      <c r="G8" s="73"/>
      <c r="J8" s="73"/>
    </row>
    <row r="9" spans="2:15" x14ac:dyDescent="0.45">
      <c r="B9" s="74" t="s">
        <v>130</v>
      </c>
      <c r="C9" s="75"/>
      <c r="D9" s="75"/>
      <c r="E9" s="75"/>
      <c r="F9" s="75"/>
      <c r="G9" s="75"/>
      <c r="H9" s="75"/>
      <c r="I9" s="75"/>
      <c r="J9" s="76"/>
      <c r="K9" s="75"/>
      <c r="L9" s="75"/>
      <c r="M9" s="77">
        <f>MAX(M4:M7)</f>
        <v>5.2007850464388046</v>
      </c>
      <c r="N9" s="77">
        <f t="shared" ref="N9:O9" si="0">MAX(N4:N7)</f>
        <v>21.971839270173753</v>
      </c>
      <c r="O9" s="77">
        <f t="shared" si="0"/>
        <v>24.644224911223681</v>
      </c>
    </row>
    <row r="10" spans="2:15" x14ac:dyDescent="0.45">
      <c r="B10" s="74" t="s">
        <v>131</v>
      </c>
      <c r="C10" s="75"/>
      <c r="D10" s="75"/>
      <c r="E10" s="75"/>
      <c r="F10" s="75"/>
      <c r="G10" s="75"/>
      <c r="H10" s="75"/>
      <c r="I10" s="75"/>
      <c r="J10" s="76"/>
      <c r="K10" s="75"/>
      <c r="L10" s="75"/>
      <c r="M10" s="77">
        <f>_xlfn.PERCENTILE.INC(M4:M7,0.75)</f>
        <v>4.6414773392699482</v>
      </c>
      <c r="N10" s="77">
        <f t="shared" ref="N10:O10" si="1">_xlfn.PERCENTILE.INC(N4:N7,0.75)</f>
        <v>19.483502631608978</v>
      </c>
      <c r="O10" s="77">
        <f t="shared" si="1"/>
        <v>21.37021472822218</v>
      </c>
    </row>
    <row r="11" spans="2:15" x14ac:dyDescent="0.45">
      <c r="B11" s="78" t="s">
        <v>132</v>
      </c>
      <c r="C11" s="79"/>
      <c r="D11" s="79"/>
      <c r="E11" s="79"/>
      <c r="F11" s="79"/>
      <c r="G11" s="79"/>
      <c r="H11" s="79"/>
      <c r="I11" s="79"/>
      <c r="J11" s="80"/>
      <c r="K11" s="79"/>
      <c r="L11" s="79"/>
      <c r="M11" s="81">
        <f>AVERAGE(M4:M7)</f>
        <v>3.7558500457983204</v>
      </c>
      <c r="N11" s="81">
        <f t="shared" ref="N11:O11" si="2">AVERAGE(N4:N7)</f>
        <v>16.130013067592071</v>
      </c>
      <c r="O11" s="81">
        <f t="shared" si="2"/>
        <v>18.460397925687538</v>
      </c>
    </row>
    <row r="12" spans="2:15" x14ac:dyDescent="0.45">
      <c r="B12" s="78" t="s">
        <v>133</v>
      </c>
      <c r="C12" s="79"/>
      <c r="D12" s="79"/>
      <c r="E12" s="79"/>
      <c r="F12" s="79"/>
      <c r="G12" s="79"/>
      <c r="H12" s="79"/>
      <c r="I12" s="79"/>
      <c r="J12" s="80"/>
      <c r="K12" s="79"/>
      <c r="L12" s="79"/>
      <c r="M12" s="81">
        <f>_xlfn.PERCENTILE.INC(M4:M7,0.5)</f>
        <v>3.7498578448792124</v>
      </c>
      <c r="N12" s="81">
        <f t="shared" ref="N12:O12" si="3">_xlfn.PERCENTILE.INC(N4:N7,0.5)</f>
        <v>15.558966756668502</v>
      </c>
      <c r="O12" s="81">
        <f t="shared" si="3"/>
        <v>17.673296668741798</v>
      </c>
    </row>
    <row r="13" spans="2:15" x14ac:dyDescent="0.45">
      <c r="B13" s="74" t="s">
        <v>134</v>
      </c>
      <c r="C13" s="75"/>
      <c r="D13" s="75"/>
      <c r="E13" s="75"/>
      <c r="F13" s="75"/>
      <c r="G13" s="75"/>
      <c r="H13" s="75"/>
      <c r="I13" s="75"/>
      <c r="J13" s="76"/>
      <c r="K13" s="75"/>
      <c r="L13" s="75"/>
      <c r="M13" s="77">
        <f>_xlfn.PERCENTILE.INC(M4:M7,0.25)</f>
        <v>2.8642305514075845</v>
      </c>
      <c r="N13" s="77">
        <f t="shared" ref="N13:O13" si="4">_xlfn.PERCENTILE.INC(N4:N7,0.25)</f>
        <v>12.205477192651594</v>
      </c>
      <c r="O13" s="77">
        <f t="shared" si="4"/>
        <v>14.763479866207156</v>
      </c>
    </row>
    <row r="14" spans="2:15" x14ac:dyDescent="0.45">
      <c r="B14" s="74" t="s">
        <v>135</v>
      </c>
      <c r="C14" s="75"/>
      <c r="D14" s="75"/>
      <c r="E14" s="75"/>
      <c r="F14" s="75"/>
      <c r="G14" s="75"/>
      <c r="H14" s="75"/>
      <c r="I14" s="75"/>
      <c r="J14" s="76"/>
      <c r="K14" s="75"/>
      <c r="L14" s="75"/>
      <c r="M14" s="77">
        <f>MIN(M4:M7)</f>
        <v>2.3228994469960522</v>
      </c>
      <c r="N14" s="77">
        <f t="shared" ref="N14:O14" si="5">MIN(N4:N7)</f>
        <v>11.430279486857527</v>
      </c>
      <c r="O14" s="77">
        <f t="shared" si="5"/>
        <v>13.850773454042884</v>
      </c>
    </row>
    <row r="15" spans="2:15" x14ac:dyDescent="0.45">
      <c r="G15" s="73"/>
      <c r="J15" s="73"/>
    </row>
    <row r="16" spans="2:15" x14ac:dyDescent="0.45">
      <c r="B16" s="137" t="s">
        <v>197</v>
      </c>
      <c r="C16" s="137"/>
      <c r="D16" s="137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8" spans="2:15" x14ac:dyDescent="0.45">
      <c r="B18" s="139"/>
      <c r="C18" s="139"/>
      <c r="D18" s="137"/>
      <c r="E18" s="137"/>
      <c r="F18" s="137"/>
      <c r="G18" s="138"/>
      <c r="I18" s="140" t="s">
        <v>116</v>
      </c>
      <c r="J18" s="141"/>
      <c r="K18" s="140"/>
      <c r="M18" s="140" t="s">
        <v>117</v>
      </c>
      <c r="N18" s="137"/>
      <c r="O18" s="137"/>
    </row>
    <row r="19" spans="2:15" ht="28.5" x14ac:dyDescent="0.45">
      <c r="B19" s="142" t="s">
        <v>118</v>
      </c>
      <c r="C19" s="142" t="s">
        <v>119</v>
      </c>
      <c r="D19" s="143"/>
      <c r="E19" s="143"/>
      <c r="F19" s="143"/>
      <c r="G19" s="143"/>
      <c r="I19" s="143" t="s">
        <v>124</v>
      </c>
      <c r="J19" s="144" t="s">
        <v>125</v>
      </c>
      <c r="K19" s="143" t="s">
        <v>126</v>
      </c>
      <c r="M19" s="143" t="s">
        <v>127</v>
      </c>
      <c r="N19" s="143" t="s">
        <v>128</v>
      </c>
      <c r="O19" s="143" t="s">
        <v>129</v>
      </c>
    </row>
    <row r="20" spans="2:15" x14ac:dyDescent="0.45">
      <c r="B20">
        <v>1</v>
      </c>
      <c r="C20" t="s">
        <v>198</v>
      </c>
      <c r="I20">
        <v>146767</v>
      </c>
      <c r="J20">
        <v>37831</v>
      </c>
      <c r="K20">
        <v>33606</v>
      </c>
      <c r="M20" s="145">
        <f>M12</f>
        <v>3.7498578448792124</v>
      </c>
      <c r="N20" s="145">
        <f t="shared" ref="N20:O20" si="6">N12</f>
        <v>15.558966756668502</v>
      </c>
      <c r="O20" s="145">
        <f t="shared" si="6"/>
        <v>17.673296668741798</v>
      </c>
    </row>
    <row r="22" spans="2:15" x14ac:dyDescent="0.45">
      <c r="B22" s="74" t="s">
        <v>199</v>
      </c>
      <c r="C22" s="75"/>
      <c r="D22" s="75"/>
      <c r="E22" s="75"/>
      <c r="F22" s="75"/>
      <c r="G22" s="75"/>
      <c r="H22" s="75"/>
      <c r="I22" s="75"/>
      <c r="J22" s="76"/>
      <c r="K22" s="75"/>
      <c r="L22" s="75"/>
      <c r="M22" s="146">
        <f>I20*M20</f>
        <v>550355.38631938735</v>
      </c>
      <c r="N22" s="146">
        <f>J20*N20</f>
        <v>588611.27137152606</v>
      </c>
      <c r="O22" s="146">
        <f>K20*O20</f>
        <v>593928.80784973688</v>
      </c>
    </row>
    <row r="23" spans="2:15" x14ac:dyDescent="0.45">
      <c r="B23" s="74" t="s">
        <v>219</v>
      </c>
      <c r="C23" s="75"/>
      <c r="D23" s="75"/>
      <c r="E23" s="75"/>
      <c r="F23" s="75"/>
      <c r="G23" s="75"/>
      <c r="H23" s="75"/>
      <c r="I23" s="75"/>
      <c r="J23" s="76"/>
      <c r="K23" s="75"/>
      <c r="L23" s="75"/>
      <c r="M23" s="147"/>
      <c r="N23" s="147">
        <f>SUM('Balance Sheet'!G24,'Balance Sheet'!G25,'Balance Sheet'!G31)</f>
        <v>28915</v>
      </c>
      <c r="O23" s="147">
        <f>N23</f>
        <v>28915</v>
      </c>
    </row>
    <row r="24" spans="2:15" x14ac:dyDescent="0.45">
      <c r="B24" s="74" t="s">
        <v>200</v>
      </c>
      <c r="C24" s="75"/>
      <c r="D24" s="75"/>
      <c r="E24" s="75"/>
      <c r="F24" s="75"/>
      <c r="G24" s="75"/>
      <c r="H24" s="75"/>
      <c r="I24" s="75"/>
      <c r="J24" s="76"/>
      <c r="K24" s="75"/>
      <c r="L24" s="75"/>
      <c r="M24" s="147"/>
      <c r="N24" s="147">
        <f>'Balance Sheet'!G8</f>
        <v>12173</v>
      </c>
      <c r="O24" s="147">
        <f>N24</f>
        <v>12173</v>
      </c>
    </row>
    <row r="25" spans="2:15" x14ac:dyDescent="0.45">
      <c r="B25" s="74" t="s">
        <v>201</v>
      </c>
      <c r="C25" s="75"/>
      <c r="D25" s="75"/>
      <c r="E25" s="75"/>
      <c r="F25" s="75"/>
      <c r="G25" s="75"/>
      <c r="H25" s="75"/>
      <c r="I25" s="75"/>
      <c r="J25" s="76"/>
      <c r="K25" s="75"/>
      <c r="L25" s="75"/>
      <c r="M25" s="146">
        <f>M22</f>
        <v>550355.38631938735</v>
      </c>
      <c r="N25" s="146">
        <f>SUM(N22,N24)-N23</f>
        <v>571869.27137152606</v>
      </c>
      <c r="O25" s="146">
        <f>SUM(O22,O24)-O23</f>
        <v>577186.80784973688</v>
      </c>
    </row>
    <row r="27" spans="2:15" x14ac:dyDescent="0.45">
      <c r="B27" s="74" t="s">
        <v>201</v>
      </c>
      <c r="C27" s="75"/>
      <c r="D27" s="75"/>
      <c r="E27" s="75"/>
      <c r="F27" s="75"/>
      <c r="G27" s="75"/>
      <c r="H27" s="75"/>
      <c r="I27" s="75"/>
      <c r="J27" s="76"/>
      <c r="K27" s="75"/>
      <c r="L27" s="75"/>
      <c r="M27" s="146">
        <f>M25</f>
        <v>550355.38631938735</v>
      </c>
      <c r="N27" s="146">
        <f>N25</f>
        <v>571869.27137152606</v>
      </c>
      <c r="O27" s="146">
        <f>O25</f>
        <v>577186.80784973688</v>
      </c>
    </row>
    <row r="28" spans="2:15" x14ac:dyDescent="0.45">
      <c r="B28" s="74" t="s">
        <v>122</v>
      </c>
      <c r="C28" s="75"/>
      <c r="D28" s="75"/>
      <c r="E28" s="75"/>
      <c r="F28" s="75"/>
      <c r="G28" s="75"/>
      <c r="H28" s="75"/>
      <c r="I28" s="75"/>
      <c r="J28" s="76"/>
      <c r="K28" s="75"/>
      <c r="L28" s="75"/>
      <c r="M28" s="79"/>
      <c r="N28" s="75"/>
      <c r="O28" s="147">
        <v>418.08978569999999</v>
      </c>
    </row>
    <row r="29" spans="2:15" x14ac:dyDescent="0.45">
      <c r="B29" s="74" t="s">
        <v>202</v>
      </c>
      <c r="C29" s="75"/>
      <c r="D29" s="75"/>
      <c r="E29" s="75"/>
      <c r="F29" s="75"/>
      <c r="G29" s="75"/>
      <c r="H29" s="75"/>
      <c r="I29" s="75"/>
      <c r="J29" s="76"/>
      <c r="K29" s="75"/>
      <c r="L29" s="75"/>
      <c r="M29" s="79">
        <f>M27/O$28</f>
        <v>1316.356928926014</v>
      </c>
      <c r="N29" s="78">
        <f>N27/$O28</f>
        <v>1367.8145004524708</v>
      </c>
      <c r="O29" s="78">
        <f>O27/$O28</f>
        <v>1380.5331476428291</v>
      </c>
    </row>
    <row r="31" spans="2:15" x14ac:dyDescent="0.45">
      <c r="B31" s="153" t="s">
        <v>220</v>
      </c>
    </row>
    <row r="32" spans="2:15" x14ac:dyDescent="0.45">
      <c r="B32" t="s">
        <v>221</v>
      </c>
      <c r="C32" s="154">
        <f>'Balance Sheet'!G24</f>
        <v>18558</v>
      </c>
    </row>
    <row r="33" spans="2:3" x14ac:dyDescent="0.45">
      <c r="B33" t="s">
        <v>46</v>
      </c>
      <c r="C33" s="154">
        <f>'Balance Sheet'!G25</f>
        <v>1242</v>
      </c>
    </row>
    <row r="34" spans="2:3" x14ac:dyDescent="0.45">
      <c r="B34" t="s">
        <v>49</v>
      </c>
      <c r="C34" s="154">
        <f>'Balance Sheet'!G31</f>
        <v>9115</v>
      </c>
    </row>
    <row r="35" spans="2:3" x14ac:dyDescent="0.45">
      <c r="B35" t="s">
        <v>222</v>
      </c>
      <c r="C35" s="154">
        <f>SUM(C32:C34)</f>
        <v>28915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AD44-15D1-4AAF-916C-2553EBC0847D}">
  <sheetPr>
    <tabColor rgb="FFFFFF00"/>
  </sheetPr>
  <dimension ref="A1:M93"/>
  <sheetViews>
    <sheetView showGridLines="0" topLeftCell="A65" zoomScale="70" zoomScaleNormal="70" workbookViewId="0">
      <selection activeCell="J78" sqref="J78"/>
    </sheetView>
  </sheetViews>
  <sheetFormatPr defaultRowHeight="14.25" x14ac:dyDescent="0.45"/>
  <cols>
    <col min="1" max="1" width="2.53125" customWidth="1"/>
    <col min="2" max="2" width="48.19921875" bestFit="1" customWidth="1"/>
    <col min="3" max="3" width="9.6640625" bestFit="1" customWidth="1"/>
  </cols>
  <sheetData>
    <row r="1" spans="1:7" ht="22.5" x14ac:dyDescent="0.6">
      <c r="A1" s="1">
        <f>'P&amp;L'!A1</f>
        <v>0</v>
      </c>
    </row>
    <row r="3" spans="1:7" x14ac:dyDescent="0.45">
      <c r="B3" s="65"/>
    </row>
    <row r="4" spans="1:7" s="2" customFormat="1" ht="13.5" x14ac:dyDescent="0.35">
      <c r="B4" s="37"/>
      <c r="C4" s="51"/>
      <c r="D4" s="51"/>
      <c r="E4" s="51"/>
      <c r="F4" s="51"/>
      <c r="G4" s="51"/>
    </row>
    <row r="5" spans="1:7" s="2" customFormat="1" thickBot="1" x14ac:dyDescent="0.45">
      <c r="B5" s="151" t="s">
        <v>0</v>
      </c>
      <c r="C5" s="35" t="str">
        <f>'Balance Sheet'!C5</f>
        <v>FY 19</v>
      </c>
      <c r="D5" s="35" t="str">
        <f>'Balance Sheet'!D5</f>
        <v>FY 20</v>
      </c>
      <c r="E5" s="35" t="str">
        <f>'Balance Sheet'!E5</f>
        <v>FY 21</v>
      </c>
      <c r="F5" s="35" t="str">
        <f>'Balance Sheet'!F5</f>
        <v>FY 22</v>
      </c>
      <c r="G5" s="35" t="str">
        <f>'Balance Sheet'!G5</f>
        <v>FY 23</v>
      </c>
    </row>
    <row r="6" spans="1:7" s="2" customFormat="1" ht="13.9" x14ac:dyDescent="0.4">
      <c r="B6" s="36" t="s">
        <v>29</v>
      </c>
      <c r="C6" s="37"/>
      <c r="D6" s="37"/>
      <c r="E6" s="37"/>
      <c r="F6" s="37"/>
      <c r="G6" s="37"/>
    </row>
    <row r="7" spans="1:7" s="2" customFormat="1" ht="13.5" x14ac:dyDescent="0.35">
      <c r="B7" s="38" t="s">
        <v>30</v>
      </c>
      <c r="C7" s="37"/>
      <c r="D7" s="37"/>
      <c r="E7" s="37"/>
      <c r="F7" s="37"/>
      <c r="G7" s="37"/>
    </row>
    <row r="8" spans="1:7" s="2" customFormat="1" ht="13.5" x14ac:dyDescent="0.35">
      <c r="B8" s="39" t="s">
        <v>31</v>
      </c>
      <c r="C8" s="40">
        <v>19568</v>
      </c>
      <c r="D8" s="40">
        <v>18649</v>
      </c>
      <c r="E8" s="40">
        <v>24714</v>
      </c>
      <c r="F8" s="40">
        <v>17472</v>
      </c>
      <c r="G8" s="40">
        <v>12173</v>
      </c>
    </row>
    <row r="9" spans="1:7" s="2" customFormat="1" ht="13.5" x14ac:dyDescent="0.35">
      <c r="B9" s="39" t="s">
        <v>32</v>
      </c>
      <c r="C9" s="40">
        <v>14827</v>
      </c>
      <c r="D9" s="40">
        <v>18487</v>
      </c>
      <c r="E9" s="40">
        <v>19294</v>
      </c>
      <c r="F9" s="40">
        <v>22698</v>
      </c>
      <c r="G9" s="40">
        <v>25424</v>
      </c>
    </row>
    <row r="10" spans="1:7" s="2" customFormat="1" ht="13.5" x14ac:dyDescent="0.35">
      <c r="B10" s="39" t="s">
        <v>33</v>
      </c>
      <c r="C10" s="52"/>
      <c r="D10" s="52"/>
      <c r="E10" s="52"/>
      <c r="F10" s="52"/>
      <c r="G10" s="52"/>
    </row>
    <row r="11" spans="1:7" s="2" customFormat="1" ht="13.5" x14ac:dyDescent="0.35">
      <c r="B11" s="39" t="s">
        <v>34</v>
      </c>
      <c r="C11" s="49">
        <v>18483</v>
      </c>
      <c r="D11" s="49">
        <v>17440</v>
      </c>
      <c r="E11" s="49">
        <v>16725</v>
      </c>
      <c r="F11" s="49">
        <v>27015</v>
      </c>
      <c r="G11" s="49">
        <v>33284</v>
      </c>
    </row>
    <row r="12" spans="1:7" s="2" customFormat="1" ht="13.9" x14ac:dyDescent="0.4">
      <c r="B12" s="66" t="s">
        <v>35</v>
      </c>
      <c r="C12" s="114">
        <f>SUM(C8:C11)</f>
        <v>52878</v>
      </c>
      <c r="D12" s="114">
        <f>SUM(D8:D11)</f>
        <v>54576</v>
      </c>
      <c r="E12" s="114">
        <f>SUM(E8:E11)</f>
        <v>60733</v>
      </c>
      <c r="F12" s="114">
        <f>SUM(F8:F11)</f>
        <v>67185</v>
      </c>
      <c r="G12" s="114">
        <f>SUM(G8:G11)</f>
        <v>70881</v>
      </c>
    </row>
    <row r="13" spans="1:7" s="2" customFormat="1" ht="13.5" x14ac:dyDescent="0.35">
      <c r="B13" s="38"/>
      <c r="C13" s="52"/>
      <c r="D13" s="52"/>
      <c r="E13" s="52"/>
      <c r="F13" s="52"/>
      <c r="G13" s="52"/>
    </row>
    <row r="14" spans="1:7" s="2" customFormat="1" ht="13.5" x14ac:dyDescent="0.35">
      <c r="B14" s="38" t="s">
        <v>36</v>
      </c>
      <c r="C14" s="40">
        <v>11479</v>
      </c>
      <c r="D14" s="40">
        <v>12435</v>
      </c>
      <c r="E14" s="40">
        <v>12560</v>
      </c>
      <c r="F14" s="40">
        <v>13075</v>
      </c>
      <c r="G14" s="40">
        <v>13346</v>
      </c>
    </row>
    <row r="15" spans="1:7" s="2" customFormat="1" ht="13.5" x14ac:dyDescent="0.35">
      <c r="B15" s="38" t="s">
        <v>37</v>
      </c>
      <c r="C15" s="40">
        <v>0</v>
      </c>
      <c r="D15" s="40">
        <v>4168</v>
      </c>
      <c r="E15" s="40">
        <v>4794</v>
      </c>
      <c r="F15" s="40">
        <v>4823</v>
      </c>
      <c r="G15" s="40">
        <v>6882</v>
      </c>
    </row>
    <row r="16" spans="1:7" s="2" customFormat="1" ht="13.5" x14ac:dyDescent="0.35">
      <c r="B16" s="38" t="s">
        <v>56</v>
      </c>
      <c r="C16" s="40">
        <v>3540</v>
      </c>
      <c r="D16" s="40">
        <v>5286</v>
      </c>
      <c r="E16" s="40">
        <v>6079</v>
      </c>
      <c r="F16" s="40">
        <v>6195</v>
      </c>
      <c r="G16" s="40">
        <v>7248</v>
      </c>
    </row>
    <row r="17" spans="2:7" s="2" customFormat="1" ht="13.5" x14ac:dyDescent="0.35">
      <c r="B17" s="38" t="s">
        <v>39</v>
      </c>
      <c r="C17" s="40">
        <v>691</v>
      </c>
      <c r="D17" s="40">
        <v>1900</v>
      </c>
      <c r="E17" s="40">
        <v>2072</v>
      </c>
      <c r="F17" s="40">
        <v>1707</v>
      </c>
      <c r="G17" s="40">
        <v>1749</v>
      </c>
    </row>
    <row r="18" spans="2:7" s="2" customFormat="1" ht="13.5" x14ac:dyDescent="0.35">
      <c r="B18" s="38" t="s">
        <v>50</v>
      </c>
      <c r="C18" s="40">
        <v>7692</v>
      </c>
      <c r="D18" s="40">
        <v>7128</v>
      </c>
      <c r="E18" s="40">
        <v>6909</v>
      </c>
      <c r="F18" s="40">
        <v>7310</v>
      </c>
      <c r="G18" s="40">
        <v>7698</v>
      </c>
    </row>
    <row r="19" spans="2:7" s="2" customFormat="1" ht="13.5" x14ac:dyDescent="0.35">
      <c r="B19" s="39" t="s">
        <v>41</v>
      </c>
      <c r="C19" s="49">
        <v>8458</v>
      </c>
      <c r="D19" s="49">
        <v>7275</v>
      </c>
      <c r="E19" s="49">
        <v>15239</v>
      </c>
      <c r="F19" s="49">
        <v>17590</v>
      </c>
      <c r="G19" s="49">
        <v>18012</v>
      </c>
    </row>
    <row r="20" spans="2:7" s="2" customFormat="1" ht="13.9" x14ac:dyDescent="0.4">
      <c r="B20" s="134" t="s">
        <v>42</v>
      </c>
      <c r="C20" s="116">
        <f>SUM(C12:C19)</f>
        <v>84738</v>
      </c>
      <c r="D20" s="116">
        <f>SUM(D12:D19)</f>
        <v>92768</v>
      </c>
      <c r="E20" s="116">
        <f>SUM(E12:E19)</f>
        <v>108386</v>
      </c>
      <c r="F20" s="116">
        <f>SUM(F12:F19)</f>
        <v>117885</v>
      </c>
      <c r="G20" s="116">
        <f>SUM(G12:G19)</f>
        <v>125816</v>
      </c>
    </row>
    <row r="21" spans="2:7" s="2" customFormat="1" ht="13.5" x14ac:dyDescent="0.35">
      <c r="B21" s="38"/>
      <c r="C21" s="52"/>
      <c r="D21" s="52"/>
      <c r="E21" s="52"/>
      <c r="F21" s="52"/>
      <c r="G21" s="52"/>
    </row>
    <row r="22" spans="2:7" s="2" customFormat="1" ht="13.9" x14ac:dyDescent="0.4">
      <c r="B22" s="36" t="s">
        <v>43</v>
      </c>
      <c r="C22" s="53"/>
      <c r="D22" s="53"/>
      <c r="E22" s="53"/>
      <c r="F22" s="53"/>
      <c r="G22" s="53"/>
    </row>
    <row r="23" spans="2:7" s="2" customFormat="1" ht="13.5" x14ac:dyDescent="0.35">
      <c r="B23" s="38" t="s">
        <v>44</v>
      </c>
      <c r="C23" s="52"/>
      <c r="D23" s="52"/>
      <c r="E23" s="52"/>
      <c r="F23" s="52"/>
      <c r="G23" s="52"/>
    </row>
    <row r="24" spans="2:7" s="2" customFormat="1" ht="13.5" x14ac:dyDescent="0.35">
      <c r="B24" s="39" t="s">
        <v>57</v>
      </c>
      <c r="C24" s="40">
        <v>10452</v>
      </c>
      <c r="D24" s="40">
        <v>10481</v>
      </c>
      <c r="E24" s="40">
        <v>11390</v>
      </c>
      <c r="F24" s="40">
        <v>15837</v>
      </c>
      <c r="G24" s="40">
        <v>18558</v>
      </c>
    </row>
    <row r="25" spans="2:7" s="2" customFormat="1" ht="13.5" x14ac:dyDescent="0.35">
      <c r="B25" s="39" t="s">
        <v>45</v>
      </c>
      <c r="C25" s="52">
        <v>0</v>
      </c>
      <c r="D25" s="52">
        <v>0</v>
      </c>
      <c r="E25" s="52">
        <v>0</v>
      </c>
      <c r="F25" s="52">
        <v>0</v>
      </c>
      <c r="G25" s="52">
        <v>0</v>
      </c>
    </row>
    <row r="26" spans="2:7" s="2" customFormat="1" ht="13.5" x14ac:dyDescent="0.35">
      <c r="B26" s="39" t="s">
        <v>58</v>
      </c>
      <c r="C26" s="40">
        <v>0</v>
      </c>
      <c r="D26" s="40">
        <v>619</v>
      </c>
      <c r="E26" s="40">
        <v>738</v>
      </c>
      <c r="F26" s="40">
        <v>872</v>
      </c>
      <c r="G26" s="40">
        <v>1242</v>
      </c>
    </row>
    <row r="27" spans="2:7" s="2" customFormat="1" ht="13.5" x14ac:dyDescent="0.35">
      <c r="B27" s="39" t="s">
        <v>59</v>
      </c>
      <c r="C27" s="40">
        <v>1655</v>
      </c>
      <c r="D27" s="40">
        <v>2852</v>
      </c>
      <c r="E27" s="40">
        <v>2645</v>
      </c>
      <c r="F27" s="40">
        <v>4134</v>
      </c>
      <c r="G27" s="40">
        <v>3865</v>
      </c>
    </row>
    <row r="28" spans="2:7" s="2" customFormat="1" ht="13.5" x14ac:dyDescent="0.35">
      <c r="B28" s="39" t="s">
        <v>60</v>
      </c>
      <c r="C28" s="49">
        <v>1567</v>
      </c>
      <c r="D28" s="49">
        <v>1490</v>
      </c>
      <c r="E28" s="49">
        <v>2146</v>
      </c>
      <c r="F28" s="49">
        <v>2607</v>
      </c>
      <c r="G28" s="49">
        <v>3384</v>
      </c>
    </row>
    <row r="29" spans="2:7" s="2" customFormat="1" ht="13.5" x14ac:dyDescent="0.35">
      <c r="B29" s="39" t="s">
        <v>47</v>
      </c>
      <c r="C29" s="49">
        <v>4964</v>
      </c>
      <c r="D29" s="49">
        <v>5414</v>
      </c>
      <c r="E29" s="49">
        <v>6946</v>
      </c>
      <c r="F29" s="49">
        <v>10153</v>
      </c>
      <c r="G29" s="49">
        <v>12137</v>
      </c>
    </row>
    <row r="30" spans="2:7" s="2" customFormat="1" ht="13.9" x14ac:dyDescent="0.4">
      <c r="B30" s="135" t="s">
        <v>192</v>
      </c>
      <c r="C30" s="113">
        <f>SUM(C24:C29)</f>
        <v>18638</v>
      </c>
      <c r="D30" s="113">
        <f t="shared" ref="D30:G30" si="0">SUM(D24:D29)</f>
        <v>20856</v>
      </c>
      <c r="E30" s="113">
        <f t="shared" si="0"/>
        <v>23865</v>
      </c>
      <c r="F30" s="113">
        <f t="shared" si="0"/>
        <v>33603</v>
      </c>
      <c r="G30" s="113">
        <f t="shared" si="0"/>
        <v>39186</v>
      </c>
    </row>
    <row r="31" spans="2:7" s="2" customFormat="1" ht="13.5" x14ac:dyDescent="0.35">
      <c r="B31" s="38"/>
      <c r="C31" s="52"/>
      <c r="D31" s="52"/>
      <c r="E31" s="52"/>
      <c r="F31" s="52"/>
      <c r="G31" s="52"/>
    </row>
    <row r="32" spans="2:7" s="2" customFormat="1" ht="13.5" x14ac:dyDescent="0.35">
      <c r="B32" s="38" t="s">
        <v>49</v>
      </c>
      <c r="C32" s="40">
        <v>147</v>
      </c>
      <c r="D32" s="40">
        <v>4821</v>
      </c>
      <c r="E32" s="40">
        <v>6101</v>
      </c>
      <c r="F32" s="40">
        <v>6939</v>
      </c>
      <c r="G32" s="40">
        <v>9115</v>
      </c>
    </row>
    <row r="33" spans="2:7" s="2" customFormat="1" ht="13.5" x14ac:dyDescent="0.35">
      <c r="B33" s="38" t="s">
        <v>50</v>
      </c>
      <c r="C33" s="40">
        <v>672</v>
      </c>
      <c r="D33" s="40">
        <v>968</v>
      </c>
      <c r="E33" s="40">
        <v>875</v>
      </c>
      <c r="F33" s="40">
        <v>1156</v>
      </c>
      <c r="G33" s="40">
        <v>1220</v>
      </c>
    </row>
    <row r="34" spans="2:7" s="2" customFormat="1" ht="13.5" x14ac:dyDescent="0.35">
      <c r="B34" s="44" t="s">
        <v>51</v>
      </c>
      <c r="C34" s="49">
        <v>275</v>
      </c>
      <c r="D34" s="49">
        <v>279</v>
      </c>
      <c r="E34" s="49">
        <v>763</v>
      </c>
      <c r="F34" s="49">
        <v>451</v>
      </c>
      <c r="G34" s="49">
        <v>500</v>
      </c>
    </row>
    <row r="35" spans="2:7" s="2" customFormat="1" ht="13.9" x14ac:dyDescent="0.4">
      <c r="B35" s="67" t="s">
        <v>52</v>
      </c>
      <c r="C35" s="114">
        <f>SUM(C30:C34)</f>
        <v>19732</v>
      </c>
      <c r="D35" s="114">
        <f>SUM(D30:D34)</f>
        <v>26924</v>
      </c>
      <c r="E35" s="114">
        <f>SUM(E30:E34)</f>
        <v>31604</v>
      </c>
      <c r="F35" s="114">
        <f>SUM(F30:F34)</f>
        <v>42149</v>
      </c>
      <c r="G35" s="114">
        <f>SUM(G30:G34)</f>
        <v>50021</v>
      </c>
    </row>
    <row r="36" spans="2:7" s="2" customFormat="1" ht="13.5" x14ac:dyDescent="0.35">
      <c r="B36" s="38"/>
      <c r="C36" s="52"/>
      <c r="D36" s="52"/>
      <c r="E36" s="52"/>
      <c r="F36" s="52"/>
      <c r="G36" s="52"/>
    </row>
    <row r="37" spans="2:7" s="2" customFormat="1" ht="13.5" x14ac:dyDescent="0.35">
      <c r="B37" s="39" t="s">
        <v>53</v>
      </c>
    </row>
    <row r="38" spans="2:7" s="2" customFormat="1" ht="13.5" x14ac:dyDescent="0.35">
      <c r="B38" s="39" t="s">
        <v>61</v>
      </c>
      <c r="C38" s="40">
        <v>2170</v>
      </c>
      <c r="D38" s="40">
        <v>2122</v>
      </c>
      <c r="E38" s="40">
        <v>2124</v>
      </c>
      <c r="F38" s="40">
        <v>2098</v>
      </c>
      <c r="G38" s="40">
        <v>2069</v>
      </c>
    </row>
    <row r="39" spans="2:7" s="2" customFormat="1" ht="13.5" x14ac:dyDescent="0.35">
      <c r="B39" s="39" t="s">
        <v>105</v>
      </c>
      <c r="C39" s="40">
        <v>62836</v>
      </c>
      <c r="D39" s="40">
        <v>63722</v>
      </c>
      <c r="E39" s="40">
        <v>74658</v>
      </c>
      <c r="F39" s="40">
        <v>73638</v>
      </c>
      <c r="G39" s="40">
        <v>73726</v>
      </c>
    </row>
    <row r="40" spans="2:7" s="2" customFormat="1" ht="13.9" x14ac:dyDescent="0.4">
      <c r="B40" s="69" t="s">
        <v>54</v>
      </c>
      <c r="C40" s="50">
        <f>SUM(C38:C39)</f>
        <v>65006</v>
      </c>
      <c r="D40" s="50">
        <f>SUM(D38:D39)</f>
        <v>65844</v>
      </c>
      <c r="E40" s="50">
        <f>SUM(E38:E39)</f>
        <v>76782</v>
      </c>
      <c r="F40" s="50">
        <f>SUM(F38:F39)</f>
        <v>75736</v>
      </c>
      <c r="G40" s="50">
        <f>SUM(G38:G39)</f>
        <v>75795</v>
      </c>
    </row>
    <row r="41" spans="2:7" s="2" customFormat="1" ht="13.9" x14ac:dyDescent="0.4">
      <c r="B41" s="68" t="s">
        <v>55</v>
      </c>
      <c r="C41" s="118">
        <f>C40+C35</f>
        <v>84738</v>
      </c>
      <c r="D41" s="118">
        <f t="shared" ref="D41:G41" si="1">D40+D35</f>
        <v>92768</v>
      </c>
      <c r="E41" s="118">
        <f t="shared" si="1"/>
        <v>108386</v>
      </c>
      <c r="F41" s="118">
        <f t="shared" si="1"/>
        <v>117885</v>
      </c>
      <c r="G41" s="118">
        <f t="shared" si="1"/>
        <v>125816</v>
      </c>
    </row>
    <row r="42" spans="2:7" s="2" customFormat="1" ht="13.5" x14ac:dyDescent="0.35">
      <c r="B42" s="37"/>
      <c r="C42" s="37"/>
      <c r="D42" s="37"/>
      <c r="E42" s="37"/>
      <c r="F42" s="37"/>
      <c r="G42" s="37"/>
    </row>
    <row r="43" spans="2:7" s="2" customFormat="1" ht="13.5" x14ac:dyDescent="0.35">
      <c r="B43" s="37"/>
      <c r="C43" s="37"/>
      <c r="D43" s="37"/>
      <c r="E43" s="37"/>
      <c r="F43" s="37"/>
      <c r="G43" s="37"/>
    </row>
    <row r="44" spans="2:7" s="2" customFormat="1" ht="13.9" x14ac:dyDescent="0.4">
      <c r="B44" s="54" t="s">
        <v>62</v>
      </c>
      <c r="C44" s="55"/>
      <c r="D44" s="55"/>
      <c r="E44" s="55"/>
      <c r="F44" s="55"/>
      <c r="G44" s="55"/>
    </row>
    <row r="45" spans="2:7" s="2" customFormat="1" ht="13.5" x14ac:dyDescent="0.35">
      <c r="B45" s="37" t="s">
        <v>63</v>
      </c>
      <c r="C45" s="56">
        <f>C12/C30</f>
        <v>2.8371069857280826</v>
      </c>
      <c r="D45" s="56">
        <f t="shared" ref="D45:G45" si="2">D12/D30</f>
        <v>2.6168009205983891</v>
      </c>
      <c r="E45" s="56">
        <f t="shared" si="2"/>
        <v>2.5448564843913681</v>
      </c>
      <c r="F45" s="56">
        <f t="shared" si="2"/>
        <v>1.9993750557985894</v>
      </c>
      <c r="G45" s="56">
        <f t="shared" si="2"/>
        <v>1.8088347879344664</v>
      </c>
    </row>
    <row r="46" spans="2:7" s="2" customFormat="1" ht="13.5" x14ac:dyDescent="0.35">
      <c r="B46" s="37" t="s">
        <v>64</v>
      </c>
      <c r="C46" s="57">
        <f>(C12-C10)/C30</f>
        <v>2.8371069857280826</v>
      </c>
      <c r="D46" s="57">
        <f t="shared" ref="D46:G46" si="3">(D12-D10)/D30</f>
        <v>2.6168009205983891</v>
      </c>
      <c r="E46" s="57">
        <f t="shared" si="3"/>
        <v>2.5448564843913681</v>
      </c>
      <c r="F46" s="57">
        <f t="shared" si="3"/>
        <v>1.9993750557985894</v>
      </c>
      <c r="G46" s="57">
        <f t="shared" si="3"/>
        <v>1.8088347879344664</v>
      </c>
    </row>
    <row r="47" spans="2:7" s="2" customFormat="1" ht="13.5" x14ac:dyDescent="0.35">
      <c r="B47" s="37"/>
      <c r="C47" s="37"/>
      <c r="D47" s="37"/>
      <c r="E47" s="37"/>
      <c r="F47" s="37"/>
      <c r="G47" s="37"/>
    </row>
    <row r="48" spans="2:7" s="2" customFormat="1" ht="13.5" x14ac:dyDescent="0.35">
      <c r="B48" s="37" t="s">
        <v>107</v>
      </c>
      <c r="C48" s="103">
        <v>82675</v>
      </c>
      <c r="D48" s="92">
        <v>90791</v>
      </c>
      <c r="E48" s="92">
        <v>100472</v>
      </c>
      <c r="F48" s="92">
        <v>121641</v>
      </c>
      <c r="G48" s="92">
        <v>146767</v>
      </c>
    </row>
    <row r="49" spans="2:8" s="2" customFormat="1" ht="13.5" x14ac:dyDescent="0.35">
      <c r="B49" s="37" t="s">
        <v>211</v>
      </c>
      <c r="C49" s="155">
        <v>53867</v>
      </c>
      <c r="D49" s="156">
        <v>60732</v>
      </c>
      <c r="E49" s="156">
        <v>65413</v>
      </c>
      <c r="F49" s="156">
        <v>81998</v>
      </c>
      <c r="G49" s="156">
        <v>102353</v>
      </c>
    </row>
    <row r="50" spans="2:8" s="2" customFormat="1" ht="13.5" x14ac:dyDescent="0.35">
      <c r="B50" s="37"/>
      <c r="C50" s="37"/>
      <c r="D50" s="37"/>
      <c r="E50" s="37"/>
      <c r="F50" s="37"/>
      <c r="G50" s="37"/>
    </row>
    <row r="51" spans="2:8" s="2" customFormat="1" ht="13.9" x14ac:dyDescent="0.4">
      <c r="B51" s="54" t="s">
        <v>65</v>
      </c>
      <c r="C51" s="55"/>
      <c r="D51" s="55"/>
      <c r="E51" s="55"/>
      <c r="F51" s="55"/>
      <c r="G51" s="55"/>
    </row>
    <row r="52" spans="2:8" s="2" customFormat="1" ht="13.5" x14ac:dyDescent="0.35">
      <c r="B52" s="37" t="s">
        <v>209</v>
      </c>
      <c r="C52" s="157">
        <f>C48/C9</f>
        <v>5.5759762595265396</v>
      </c>
      <c r="D52" s="57">
        <f>D48/AVERAGE(C9:D9)</f>
        <v>5.4506213603890252</v>
      </c>
      <c r="E52" s="57">
        <f t="shared" ref="E52:G52" si="4">E48/AVERAGE(D9:E9)</f>
        <v>5.3186522326036894</v>
      </c>
      <c r="F52" s="57">
        <f t="shared" si="4"/>
        <v>5.7935321013526382</v>
      </c>
      <c r="G52" s="57">
        <f t="shared" si="4"/>
        <v>6.0997880387348822</v>
      </c>
    </row>
    <row r="53" spans="2:8" s="2" customFormat="1" ht="13.5" x14ac:dyDescent="0.35">
      <c r="B53" s="37" t="s">
        <v>66</v>
      </c>
      <c r="C53" s="37">
        <v>0</v>
      </c>
      <c r="D53" s="57">
        <v>0</v>
      </c>
      <c r="E53" s="57">
        <v>0</v>
      </c>
      <c r="F53" s="57">
        <v>0</v>
      </c>
      <c r="G53" s="57">
        <v>0</v>
      </c>
    </row>
    <row r="54" spans="2:8" s="2" customFormat="1" ht="13.5" x14ac:dyDescent="0.35">
      <c r="B54" s="37" t="s">
        <v>210</v>
      </c>
      <c r="C54" s="158">
        <f>C49/AVERAGE(B27:C27)</f>
        <v>32.548036253776438</v>
      </c>
      <c r="D54" s="158">
        <f t="shared" ref="D54:G54" si="5">D49/AVERAGE(C27:D27)</f>
        <v>26.950077656978035</v>
      </c>
      <c r="E54" s="158">
        <f t="shared" si="5"/>
        <v>23.799527014735311</v>
      </c>
      <c r="F54" s="158">
        <f t="shared" si="5"/>
        <v>24.191768697448001</v>
      </c>
      <c r="G54" s="158">
        <f t="shared" si="5"/>
        <v>25.591448931116389</v>
      </c>
    </row>
    <row r="55" spans="2:8" s="2" customFormat="1" ht="13.5" x14ac:dyDescent="0.35">
      <c r="B55" s="37"/>
      <c r="C55" s="37"/>
      <c r="E55" s="37"/>
      <c r="F55" s="37"/>
      <c r="G55" s="37"/>
    </row>
    <row r="56" spans="2:8" s="2" customFormat="1" ht="13.5" x14ac:dyDescent="0.35">
      <c r="B56" s="37"/>
      <c r="C56" s="37"/>
      <c r="D56" s="37"/>
      <c r="E56" s="37"/>
      <c r="F56" s="37"/>
      <c r="G56" s="37"/>
    </row>
    <row r="57" spans="2:8" s="2" customFormat="1" ht="13.9" x14ac:dyDescent="0.4">
      <c r="B57" s="54" t="s">
        <v>67</v>
      </c>
      <c r="C57" s="55"/>
      <c r="D57" s="55"/>
      <c r="E57" s="55"/>
      <c r="F57" s="55"/>
      <c r="G57" s="55"/>
    </row>
    <row r="58" spans="2:8" s="2" customFormat="1" ht="13.5" x14ac:dyDescent="0.35">
      <c r="B58" s="37" t="s">
        <v>68</v>
      </c>
      <c r="C58" s="37">
        <f>365/C52</f>
        <v>65.459389174478375</v>
      </c>
      <c r="D58" s="37">
        <f t="shared" ref="D58:G58" si="6">365/D52</f>
        <v>66.964842330186912</v>
      </c>
      <c r="E58" s="37">
        <f t="shared" si="6"/>
        <v>68.626408352575851</v>
      </c>
      <c r="F58" s="37">
        <f t="shared" si="6"/>
        <v>63.001290683240029</v>
      </c>
      <c r="G58" s="37">
        <f t="shared" si="6"/>
        <v>59.838144814570036</v>
      </c>
    </row>
    <row r="59" spans="2:8" s="2" customFormat="1" ht="13.5" x14ac:dyDescent="0.35">
      <c r="B59" s="37" t="s">
        <v>69</v>
      </c>
      <c r="C59" s="37">
        <v>0</v>
      </c>
      <c r="D59" s="58">
        <v>0</v>
      </c>
      <c r="E59" s="58">
        <v>0</v>
      </c>
      <c r="F59" s="58">
        <v>0</v>
      </c>
      <c r="G59" s="58">
        <v>0</v>
      </c>
    </row>
    <row r="60" spans="2:8" s="2" customFormat="1" ht="13.5" x14ac:dyDescent="0.35">
      <c r="B60" s="37" t="s">
        <v>70</v>
      </c>
      <c r="C60" s="37">
        <f>365/C54</f>
        <v>11.214194219095178</v>
      </c>
      <c r="D60" s="37">
        <f t="shared" ref="D60:G60" si="7">365/D54</f>
        <v>13.54356023183824</v>
      </c>
      <c r="E60" s="37">
        <f t="shared" si="7"/>
        <v>15.33643923990644</v>
      </c>
      <c r="F60" s="37">
        <f t="shared" si="7"/>
        <v>15.087776531134905</v>
      </c>
      <c r="G60" s="37">
        <f t="shared" si="7"/>
        <v>14.262576573231854</v>
      </c>
    </row>
    <row r="61" spans="2:8" s="2" customFormat="1" ht="13.5" x14ac:dyDescent="0.35">
      <c r="B61" s="37" t="s">
        <v>71</v>
      </c>
      <c r="C61" s="37">
        <f>C58-C60</f>
        <v>54.245194955383198</v>
      </c>
      <c r="D61" s="37">
        <f t="shared" ref="D61:G61" si="8">D58-D60</f>
        <v>53.421282098348669</v>
      </c>
      <c r="E61" s="37">
        <f t="shared" si="8"/>
        <v>53.289969112669411</v>
      </c>
      <c r="F61" s="37">
        <f t="shared" si="8"/>
        <v>47.913514152105122</v>
      </c>
      <c r="G61" s="37">
        <f t="shared" si="8"/>
        <v>45.575568241338182</v>
      </c>
      <c r="H61" s="37"/>
    </row>
    <row r="62" spans="2:8" s="2" customFormat="1" ht="13.5" x14ac:dyDescent="0.35">
      <c r="B62" s="37"/>
      <c r="C62" s="37"/>
      <c r="D62" s="37"/>
      <c r="E62" s="37"/>
      <c r="F62" s="37"/>
      <c r="G62" s="37"/>
    </row>
    <row r="63" spans="2:8" s="2" customFormat="1" ht="13.5" x14ac:dyDescent="0.35">
      <c r="B63" s="37"/>
      <c r="C63" s="37"/>
      <c r="D63" s="37"/>
      <c r="E63" s="37"/>
      <c r="F63" s="37"/>
      <c r="G63" s="37"/>
    </row>
    <row r="64" spans="2:8" s="2" customFormat="1" ht="13.9" x14ac:dyDescent="0.4">
      <c r="B64" s="54" t="s">
        <v>72</v>
      </c>
      <c r="C64" s="55"/>
      <c r="D64" s="55"/>
      <c r="E64" s="55"/>
      <c r="F64" s="55"/>
      <c r="G64" s="55"/>
    </row>
    <row r="65" spans="2:8" s="2" customFormat="1" ht="13.5" x14ac:dyDescent="0.35">
      <c r="B65" s="37" t="s">
        <v>73</v>
      </c>
      <c r="C65" s="160">
        <f>C48/AVERAGE(B20:C20)</f>
        <v>0.97565436994028654</v>
      </c>
      <c r="D65" s="160">
        <f t="shared" ref="D65:G65" si="9">D48/AVERAGE(C20:D20)</f>
        <v>1.0229626040809887</v>
      </c>
      <c r="E65" s="160">
        <f t="shared" si="9"/>
        <v>0.99895602374300285</v>
      </c>
      <c r="F65" s="160">
        <f t="shared" si="9"/>
        <v>1.0751797623204034</v>
      </c>
      <c r="G65" s="160">
        <f t="shared" si="9"/>
        <v>1.204484183487142</v>
      </c>
    </row>
    <row r="66" spans="2:8" s="2" customFormat="1" ht="13.5" x14ac:dyDescent="0.35">
      <c r="B66" s="37" t="s">
        <v>74</v>
      </c>
      <c r="C66" s="160">
        <f>C48/AVERAGE(B14:C14)</f>
        <v>7.2022824287829952</v>
      </c>
      <c r="D66" s="160">
        <f t="shared" ref="D66:G66" si="10">D48/AVERAGE(C14:D14)</f>
        <v>7.5931253658944549</v>
      </c>
      <c r="E66" s="160">
        <f t="shared" si="10"/>
        <v>8.0393678735747152</v>
      </c>
      <c r="F66" s="160">
        <f t="shared" si="10"/>
        <v>9.4902282036278525</v>
      </c>
      <c r="G66" s="160">
        <f t="shared" si="10"/>
        <v>11.109874720865978</v>
      </c>
    </row>
    <row r="67" spans="2:8" s="2" customFormat="1" ht="13.5" x14ac:dyDescent="0.35">
      <c r="B67" s="37"/>
      <c r="D67" s="37"/>
      <c r="E67" s="37"/>
      <c r="F67" s="37"/>
      <c r="G67" s="37"/>
    </row>
    <row r="68" spans="2:8" s="2" customFormat="1" ht="13.9" x14ac:dyDescent="0.4">
      <c r="B68" s="54" t="s">
        <v>75</v>
      </c>
      <c r="C68" s="55"/>
      <c r="D68" s="55"/>
      <c r="E68" s="55"/>
      <c r="F68" s="55"/>
      <c r="G68" s="55"/>
    </row>
    <row r="69" spans="2:8" s="2" customFormat="1" ht="13.5" x14ac:dyDescent="0.35">
      <c r="B69" s="37" t="s">
        <v>76</v>
      </c>
      <c r="C69" s="161">
        <f>'P&amp;L'!C8/'BS Analysis sheet'!C48</f>
        <v>0.34844874508618084</v>
      </c>
      <c r="D69" s="59">
        <f>'P&amp;L'!D8/'BS Analysis sheet'!D48</f>
        <v>0.33107907171415668</v>
      </c>
      <c r="E69" s="59">
        <f>'P&amp;L'!E8/'BS Analysis sheet'!E48</f>
        <v>0.34894298909148819</v>
      </c>
      <c r="F69" s="59">
        <f>'P&amp;L'!F8/'BS Analysis sheet'!F48</f>
        <v>0.32590162856273791</v>
      </c>
      <c r="G69" s="59">
        <f>'P&amp;L'!G8/'BS Analysis sheet'!G48</f>
        <v>0.30261571061614667</v>
      </c>
    </row>
    <row r="70" spans="2:8" s="2" customFormat="1" ht="13.5" x14ac:dyDescent="0.35">
      <c r="B70" s="37" t="s">
        <v>77</v>
      </c>
      <c r="C70" s="59">
        <f>'P&amp;L'!C12/'P&amp;L'!C6</f>
        <v>0.25450257030541273</v>
      </c>
      <c r="D70" s="59">
        <f>'P&amp;L'!D12/'P&amp;L'!D6</f>
        <v>0.24426429932482294</v>
      </c>
      <c r="E70" s="59">
        <f>'P&amp;L'!E12/'P&amp;L'!E6</f>
        <v>0.26696990206226612</v>
      </c>
      <c r="F70" s="59">
        <f>'P&amp;L'!F12/'P&amp;L'!F6</f>
        <v>0.24917585353622546</v>
      </c>
      <c r="G70" s="59">
        <f>'P&amp;L'!G12/'P&amp;L'!G6</f>
        <v>0.22897517834390566</v>
      </c>
    </row>
    <row r="71" spans="2:8" s="2" customFormat="1" ht="13.5" x14ac:dyDescent="0.35">
      <c r="B71" s="37" t="s">
        <v>78</v>
      </c>
      <c r="C71" s="59">
        <f>'P&amp;L'!C18/'P&amp;L'!C6</f>
        <v>0.18639250075597219</v>
      </c>
      <c r="D71" s="59">
        <f>'P&amp;L'!D18/'P&amp;L'!D6</f>
        <v>0.18701192849511517</v>
      </c>
      <c r="E71" s="59">
        <f>'P&amp;L'!E18/'P&amp;L'!E6</f>
        <v>0.19719921968309578</v>
      </c>
      <c r="F71" s="59">
        <f>'P&amp;L'!F18/'P&amp;L'!F6</f>
        <v>0.18534868999761595</v>
      </c>
      <c r="G71" s="59">
        <f>'P&amp;L'!G18/'P&amp;L'!G6</f>
        <v>0.16426035825492105</v>
      </c>
    </row>
    <row r="72" spans="2:8" s="2" customFormat="1" ht="13.5" x14ac:dyDescent="0.35">
      <c r="B72" s="37"/>
      <c r="C72" s="37"/>
      <c r="D72" s="37"/>
      <c r="E72" s="37"/>
      <c r="F72" s="37"/>
      <c r="G72" s="37"/>
    </row>
    <row r="73" spans="2:8" s="2" customFormat="1" ht="13.5" x14ac:dyDescent="0.35">
      <c r="B73" s="37" t="s">
        <v>79</v>
      </c>
      <c r="C73" s="59">
        <f>IF('Balance Sheet'!C20=0,0,'P&amp;L'!C18/'Balance Sheet'!C20)</f>
        <v>0.18185465788666241</v>
      </c>
      <c r="D73" s="59">
        <f>IF(AVERAGE('Balance Sheet'!C20,D20)=0,0,'P&amp;L'!D18/AVERAGE('Balance Sheet'!C20,'Balance Sheet'!D20))</f>
        <v>0.19130620936757067</v>
      </c>
      <c r="E73" s="59">
        <f>IF(AVERAGE('Balance Sheet'!D20,'Balance Sheet'!E20)=0,0,'P&amp;L'!E18/AVERAGE('Balance Sheet'!D20,'Balance Sheet'!E20))</f>
        <v>0.19699334837984828</v>
      </c>
      <c r="F73" s="59">
        <f>IF(AVERAGE('Balance Sheet'!E20,'Balance Sheet'!F20)=0,0,'P&amp;L'!F18/AVERAGE('Balance Sheet'!E20,'Balance Sheet'!F20))</f>
        <v>0.19928316045803485</v>
      </c>
      <c r="G73" s="59">
        <f>IF(AVERAGE('Balance Sheet'!F20,'Balance Sheet'!G20)=0,0,'P&amp;L'!G18/AVERAGE('Balance Sheet'!F20,'Balance Sheet'!G20))</f>
        <v>0.19784900349198403</v>
      </c>
    </row>
    <row r="74" spans="2:8" s="2" customFormat="1" ht="13.5" x14ac:dyDescent="0.35">
      <c r="B74" s="37" t="s">
        <v>196</v>
      </c>
      <c r="C74" s="59">
        <f>IF('Balance Sheet'!C38=0,0,'P&amp;L'!C18/'Balance Sheet'!C38)</f>
        <v>0.23705504107313172</v>
      </c>
      <c r="D74" s="59">
        <f>IF(AVERAGE('Balance Sheet'!C38,'Balance Sheet'!D38)=0,0,'P&amp;L'!D18/AVERAGE('Balance Sheet'!C38,'Balance Sheet'!D38))</f>
        <v>0.25951853267099734</v>
      </c>
      <c r="E74" s="59">
        <f>IF(AVERAGE('Balance Sheet'!D38,'Balance Sheet'!E38)=0,0,'P&amp;L'!E18/AVERAGE('Balance Sheet'!D38,'Balance Sheet'!E38))</f>
        <v>0.27783153141783407</v>
      </c>
      <c r="F74" s="59">
        <f>IF(AVERAGE('Balance Sheet'!E38,'Balance Sheet'!F38)=0,0,'P&amp;L'!F18/AVERAGE('Balance Sheet'!E38,'Balance Sheet'!F38))</f>
        <v>0.29565034946694818</v>
      </c>
      <c r="G74" s="59">
        <f>IF(AVERAGE('Balance Sheet'!F38,'Balance Sheet'!G38)=0,0,'P&amp;L'!G18/AVERAGE('Balance Sheet'!F38,'Balance Sheet'!G38))</f>
        <v>0.31819231708363305</v>
      </c>
    </row>
    <row r="75" spans="2:8" s="2" customFormat="1" ht="13.5" x14ac:dyDescent="0.35">
      <c r="B75" s="37"/>
      <c r="C75" s="37"/>
      <c r="D75" s="59"/>
      <c r="E75" s="59"/>
      <c r="F75" s="59"/>
      <c r="G75" s="59"/>
    </row>
    <row r="76" spans="2:8" s="2" customFormat="1" ht="13.5" x14ac:dyDescent="0.35">
      <c r="B76" s="37"/>
      <c r="C76" s="37"/>
      <c r="D76" s="37"/>
      <c r="E76" s="37"/>
      <c r="F76" s="37"/>
      <c r="G76" s="37"/>
    </row>
    <row r="77" spans="2:8" s="2" customFormat="1" ht="13.9" x14ac:dyDescent="0.4">
      <c r="B77" s="54" t="s">
        <v>80</v>
      </c>
      <c r="C77" s="55"/>
      <c r="D77" s="55"/>
      <c r="E77" s="55"/>
      <c r="F77" s="55"/>
      <c r="G77" s="55"/>
    </row>
    <row r="78" spans="2:8" s="2" customFormat="1" ht="13.5" x14ac:dyDescent="0.35">
      <c r="B78" s="37" t="s">
        <v>81</v>
      </c>
      <c r="C78" s="189">
        <f>SUM(C24,C26,C32)/C40</f>
        <v>0.1630464880164908</v>
      </c>
      <c r="D78" s="189">
        <f t="shared" ref="D78:G78" si="11">SUM(D24,D26,D32)/D40</f>
        <v>0.24179879715691635</v>
      </c>
      <c r="E78" s="189">
        <f t="shared" si="11"/>
        <v>0.23741241436795082</v>
      </c>
      <c r="F78" s="189">
        <f t="shared" si="11"/>
        <v>0.31224252667159608</v>
      </c>
      <c r="G78" s="189">
        <f t="shared" si="11"/>
        <v>0.38148954416518238</v>
      </c>
    </row>
    <row r="79" spans="2:8" s="2" customFormat="1" ht="13.5" x14ac:dyDescent="0.35">
      <c r="B79" s="37" t="s">
        <v>212</v>
      </c>
      <c r="C79" s="189">
        <f>SUM(C25,C27,C33)/C41</f>
        <v>2.7461115438174137E-2</v>
      </c>
      <c r="D79" s="189">
        <f t="shared" ref="D79:G79" si="12">SUM(D25,D27,D33)/D41</f>
        <v>4.117799241117627E-2</v>
      </c>
      <c r="E79" s="189">
        <f t="shared" si="12"/>
        <v>3.2476519107633828E-2</v>
      </c>
      <c r="F79" s="189">
        <f t="shared" si="12"/>
        <v>4.4874241845866733E-2</v>
      </c>
      <c r="G79" s="189">
        <f t="shared" si="12"/>
        <v>4.0416163286068542E-2</v>
      </c>
      <c r="H79" s="189"/>
    </row>
    <row r="80" spans="2:8" s="2" customFormat="1" ht="13.5" x14ac:dyDescent="0.35">
      <c r="B80" s="37"/>
      <c r="C80" s="37"/>
      <c r="D80" s="37"/>
      <c r="E80" s="37"/>
      <c r="F80" s="37"/>
      <c r="G80" s="37"/>
    </row>
    <row r="81" spans="2:13" s="2" customFormat="1" ht="13.9" x14ac:dyDescent="0.4">
      <c r="B81" s="37"/>
      <c r="C81" s="37"/>
      <c r="D81" s="37"/>
      <c r="E81" s="37"/>
      <c r="F81" s="60"/>
      <c r="G81" s="60"/>
    </row>
    <row r="82" spans="2:13" s="2" customFormat="1" ht="13.9" x14ac:dyDescent="0.4">
      <c r="B82" s="54" t="s">
        <v>82</v>
      </c>
      <c r="C82" s="55"/>
      <c r="D82" s="55"/>
      <c r="E82" s="55"/>
      <c r="F82" s="55"/>
      <c r="G82" s="55"/>
    </row>
    <row r="83" spans="2:13" s="2" customFormat="1" ht="13.5" x14ac:dyDescent="0.35">
      <c r="B83" s="37"/>
      <c r="C83" s="37"/>
      <c r="D83" s="37"/>
      <c r="E83" s="37"/>
      <c r="F83" s="37"/>
      <c r="G83" s="37"/>
    </row>
    <row r="84" spans="2:13" s="2" customFormat="1" ht="13.5" x14ac:dyDescent="0.35">
      <c r="B84" s="37" t="s">
        <v>83</v>
      </c>
      <c r="C84" s="197">
        <f>ABS('Cash Flow'!C48)</f>
        <v>13705</v>
      </c>
      <c r="D84" s="197">
        <f>ABS('Cash Flow'!D48)</f>
        <v>9515</v>
      </c>
      <c r="E84" s="197">
        <f>ABS('Cash Flow'!E48)</f>
        <v>9117</v>
      </c>
      <c r="F84" s="197">
        <f>ABS('Cash Flow'!F48)</f>
        <v>12652</v>
      </c>
      <c r="G84" s="197">
        <f>ABS('Cash Flow'!G48)</f>
        <v>13631</v>
      </c>
    </row>
    <row r="85" spans="2:13" s="2" customFormat="1" ht="13.5" x14ac:dyDescent="0.35">
      <c r="B85" s="37" t="s">
        <v>84</v>
      </c>
      <c r="C85" s="162">
        <f>'P&amp;L'!C18</f>
        <v>15410</v>
      </c>
      <c r="D85" s="162">
        <f>'P&amp;L'!D18</f>
        <v>16979</v>
      </c>
      <c r="E85" s="162">
        <f>'P&amp;L'!E18</f>
        <v>19813</v>
      </c>
      <c r="F85" s="162">
        <f>'P&amp;L'!F18</f>
        <v>22546</v>
      </c>
      <c r="G85" s="162">
        <f>'P&amp;L'!G18</f>
        <v>24108</v>
      </c>
    </row>
    <row r="86" spans="2:13" s="2" customFormat="1" ht="13.5" x14ac:dyDescent="0.35">
      <c r="B86" s="37" t="s">
        <v>85</v>
      </c>
      <c r="C86" s="59">
        <f>C84/C85</f>
        <v>0.88935756002595712</v>
      </c>
      <c r="D86" s="59">
        <f>D84/D85</f>
        <v>0.56039813887743684</v>
      </c>
      <c r="E86" s="59">
        <f>E84/E85</f>
        <v>0.4601524251753899</v>
      </c>
      <c r="F86" s="59">
        <f>F84/F85</f>
        <v>0.56116384281025455</v>
      </c>
      <c r="G86" s="59">
        <f>G84/G85</f>
        <v>0.56541397046623532</v>
      </c>
    </row>
    <row r="87" spans="2:13" s="2" customFormat="1" ht="13.5" x14ac:dyDescent="0.35">
      <c r="B87" s="37" t="s">
        <v>86</v>
      </c>
      <c r="C87" s="163">
        <f>1-C86</f>
        <v>0.11064243997404288</v>
      </c>
      <c r="D87" s="163">
        <f>1-D86</f>
        <v>0.43960186112256316</v>
      </c>
      <c r="E87" s="163">
        <f>1-E86</f>
        <v>0.5398475748246101</v>
      </c>
      <c r="F87" s="163">
        <f>1-F86</f>
        <v>0.43883615718974545</v>
      </c>
      <c r="G87" s="163">
        <f>1-G86</f>
        <v>0.43458602953376468</v>
      </c>
    </row>
    <row r="88" spans="2:13" s="2" customFormat="1" ht="13.5" x14ac:dyDescent="0.35">
      <c r="B88" s="37"/>
      <c r="C88" s="37"/>
      <c r="D88" s="37"/>
      <c r="E88" s="37"/>
      <c r="F88" s="37"/>
      <c r="G88" s="37"/>
    </row>
    <row r="89" spans="2:13" s="2" customFormat="1" ht="13.9" x14ac:dyDescent="0.4">
      <c r="B89" s="60" t="s">
        <v>181</v>
      </c>
      <c r="C89" s="164">
        <f>C74*C87</f>
        <v>2.6228348152478247E-2</v>
      </c>
      <c r="D89" s="164">
        <f t="shared" ref="D89:G89" si="13">D74*D87</f>
        <v>0.11408482995796715</v>
      </c>
      <c r="E89" s="164">
        <f t="shared" si="13"/>
        <v>0.14998667844572519</v>
      </c>
      <c r="F89" s="164">
        <f t="shared" si="13"/>
        <v>0.12974206323188084</v>
      </c>
      <c r="G89" s="164">
        <f t="shared" si="13"/>
        <v>0.13828193570952477</v>
      </c>
    </row>
    <row r="90" spans="2:13" s="2" customFormat="1" ht="13.5" x14ac:dyDescent="0.35">
      <c r="B90" s="37"/>
      <c r="C90" s="37"/>
      <c r="D90" s="37"/>
      <c r="E90" s="37"/>
      <c r="F90" s="37"/>
      <c r="G90" s="37"/>
    </row>
    <row r="93" spans="2:13" x14ac:dyDescent="0.45">
      <c r="M93" s="2"/>
    </row>
  </sheetData>
  <pageMargins left="0.7" right="0.7" top="0.75" bottom="0.75" header="0.3" footer="0.3"/>
  <pageSetup orientation="portrait" r:id="rId1"/>
  <ignoredErrors>
    <ignoredError sqref="D66 F66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A89B-8771-43CD-926D-41BCD977ED39}">
  <sheetPr>
    <tabColor rgb="FFFFFF00"/>
  </sheetPr>
  <dimension ref="A1:K64"/>
  <sheetViews>
    <sheetView showGridLines="0" tabSelected="1" topLeftCell="B40" zoomScale="80" zoomScaleNormal="80" workbookViewId="0">
      <selection activeCell="N50" sqref="N50"/>
    </sheetView>
  </sheetViews>
  <sheetFormatPr defaultRowHeight="14.25" x14ac:dyDescent="0.45"/>
  <cols>
    <col min="1" max="1" width="2.53125" customWidth="1"/>
    <col min="2" max="2" width="61.19921875" bestFit="1" customWidth="1"/>
    <col min="4" max="4" width="10.86328125" bestFit="1" customWidth="1"/>
    <col min="5" max="5" width="10.6640625" bestFit="1" customWidth="1"/>
    <col min="6" max="7" width="9.19921875" bestFit="1" customWidth="1"/>
  </cols>
  <sheetData>
    <row r="1" spans="1:11" ht="22.5" x14ac:dyDescent="0.6">
      <c r="A1" s="1">
        <f>'P&amp;L'!A1</f>
        <v>0</v>
      </c>
    </row>
    <row r="2" spans="1:11" ht="22.5" x14ac:dyDescent="0.6">
      <c r="A2" s="1"/>
    </row>
    <row r="3" spans="1:11" s="2" customFormat="1" x14ac:dyDescent="0.45">
      <c r="B3" s="65"/>
      <c r="C3" s="37"/>
      <c r="D3" s="37"/>
      <c r="E3" s="37"/>
      <c r="F3" s="37"/>
      <c r="G3" s="37"/>
    </row>
    <row r="4" spans="1:11" s="2" customFormat="1" ht="13.9" x14ac:dyDescent="0.4">
      <c r="A4" s="165"/>
      <c r="B4" s="166" t="str">
        <f>'P&amp;L'!$B$5</f>
        <v>Particulars</v>
      </c>
      <c r="C4" s="166" t="str">
        <f>'P&amp;L'!C5</f>
        <v>FY 19</v>
      </c>
      <c r="D4" s="166" t="str">
        <f>'P&amp;L'!D5</f>
        <v>FY 20</v>
      </c>
      <c r="E4" s="166" t="str">
        <f>'P&amp;L'!E5</f>
        <v>FY 21</v>
      </c>
      <c r="F4" s="166" t="str">
        <f>'P&amp;L'!F5</f>
        <v>FY 22</v>
      </c>
      <c r="G4" s="166" t="str">
        <f>'P&amp;L'!G5</f>
        <v>FY 23</v>
      </c>
    </row>
    <row r="5" spans="1:11" s="2" customFormat="1" ht="13.5" x14ac:dyDescent="0.35">
      <c r="B5" s="38" t="s">
        <v>1</v>
      </c>
      <c r="C5" s="52">
        <f>C25/C25</f>
        <v>1</v>
      </c>
      <c r="D5" s="52">
        <f t="shared" ref="D5:G5" si="0">D25/D25</f>
        <v>1</v>
      </c>
      <c r="E5" s="52">
        <f t="shared" si="0"/>
        <v>1</v>
      </c>
      <c r="F5" s="52">
        <f t="shared" si="0"/>
        <v>1</v>
      </c>
      <c r="G5" s="52">
        <f t="shared" si="0"/>
        <v>1</v>
      </c>
    </row>
    <row r="6" spans="1:11" s="2" customFormat="1" ht="13.5" x14ac:dyDescent="0.35">
      <c r="B6" s="38" t="s">
        <v>2</v>
      </c>
      <c r="C6" s="167">
        <f>C26/C25</f>
        <v>0.65155125491381916</v>
      </c>
      <c r="D6" s="167">
        <f t="shared" ref="D6:G6" si="1">D26/D25</f>
        <v>0.66892092828584326</v>
      </c>
      <c r="E6" s="167">
        <f t="shared" si="1"/>
        <v>0.65105701090851187</v>
      </c>
      <c r="F6" s="167">
        <f t="shared" si="1"/>
        <v>0.67409837143726214</v>
      </c>
      <c r="G6" s="167">
        <f t="shared" si="1"/>
        <v>0.69738428938385333</v>
      </c>
    </row>
    <row r="7" spans="1:11" s="2" customFormat="1" ht="13.9" x14ac:dyDescent="0.4">
      <c r="B7" s="168" t="s">
        <v>17</v>
      </c>
      <c r="C7" s="169">
        <f>C27/C25</f>
        <v>0.34844874508618084</v>
      </c>
      <c r="D7" s="169">
        <f t="shared" ref="D7:G7" si="2">D27/D25</f>
        <v>0.33107907171415668</v>
      </c>
      <c r="E7" s="169">
        <f t="shared" si="2"/>
        <v>0.34894298909148819</v>
      </c>
      <c r="F7" s="169">
        <f t="shared" si="2"/>
        <v>0.32590162856273791</v>
      </c>
      <c r="G7" s="169">
        <f t="shared" si="2"/>
        <v>0.30261571061614667</v>
      </c>
      <c r="K7" s="188"/>
    </row>
    <row r="8" spans="1:11" s="2" customFormat="1" ht="13.5" x14ac:dyDescent="0.35">
      <c r="B8" s="38"/>
      <c r="C8" s="52"/>
      <c r="D8" s="52"/>
      <c r="E8" s="52"/>
      <c r="F8" s="52"/>
      <c r="G8" s="52"/>
    </row>
    <row r="9" spans="1:11" s="2" customFormat="1" ht="13.5" x14ac:dyDescent="0.35">
      <c r="B9" s="38" t="s">
        <v>4</v>
      </c>
      <c r="C9" s="52">
        <f>C29/C25</f>
        <v>0.12008466888418506</v>
      </c>
      <c r="D9" s="52">
        <f t="shared" ref="D9:G9" si="3">D29/D25</f>
        <v>0.11768787655164058</v>
      </c>
      <c r="E9" s="52">
        <f t="shared" si="3"/>
        <v>0.10387968787323831</v>
      </c>
      <c r="F9" s="52">
        <f t="shared" si="3"/>
        <v>9.5592768885490911E-2</v>
      </c>
      <c r="G9" s="52">
        <f t="shared" si="3"/>
        <v>9.2043851819550715E-2</v>
      </c>
    </row>
    <row r="10" spans="1:11" s="2" customFormat="1" ht="13.5" x14ac:dyDescent="0.35">
      <c r="B10" s="38" t="s">
        <v>5</v>
      </c>
      <c r="C10" s="52">
        <f>C30/C25</f>
        <v>-2.6138494103416995E-2</v>
      </c>
      <c r="D10" s="52">
        <f t="shared" ref="D10:G10" si="4">D30/D25</f>
        <v>-3.0873104162306837E-2</v>
      </c>
      <c r="E10" s="52">
        <f t="shared" si="4"/>
        <v>-2.1906600844016244E-2</v>
      </c>
      <c r="F10" s="52">
        <f t="shared" si="4"/>
        <v>-1.886699385897847E-2</v>
      </c>
      <c r="G10" s="52">
        <f t="shared" si="4"/>
        <v>-1.8403319547309682E-2</v>
      </c>
    </row>
    <row r="11" spans="1:11" s="2" customFormat="1" ht="13.9" x14ac:dyDescent="0.4">
      <c r="B11" s="36" t="s">
        <v>18</v>
      </c>
      <c r="C11" s="170">
        <f>C31/C25</f>
        <v>0.25450257030541273</v>
      </c>
      <c r="D11" s="170">
        <f t="shared" ref="D11:G11" si="5">D31/D25</f>
        <v>0.24426429932482294</v>
      </c>
      <c r="E11" s="170">
        <f t="shared" si="5"/>
        <v>0.26696990206226612</v>
      </c>
      <c r="F11" s="170">
        <f t="shared" si="5"/>
        <v>0.24917585353622546</v>
      </c>
      <c r="G11" s="170">
        <f t="shared" si="5"/>
        <v>0.22897517834390566</v>
      </c>
    </row>
    <row r="12" spans="1:11" s="2" customFormat="1" ht="13.5" x14ac:dyDescent="0.35">
      <c r="B12" s="38" t="s">
        <v>19</v>
      </c>
      <c r="C12" s="52"/>
      <c r="D12" s="52"/>
      <c r="E12" s="52"/>
      <c r="F12" s="52"/>
      <c r="G12" s="52"/>
    </row>
    <row r="13" spans="1:11" s="2" customFormat="1" ht="13.5" x14ac:dyDescent="0.35">
      <c r="B13" s="38" t="s">
        <v>8</v>
      </c>
      <c r="C13" s="167">
        <f>C32/C25</f>
        <v>0</v>
      </c>
      <c r="D13" s="167">
        <f t="shared" ref="D13:G13" si="6">D32/D25</f>
        <v>-1.8724322895441179E-3</v>
      </c>
      <c r="E13" s="167">
        <f t="shared" si="6"/>
        <v>-1.9408392387928975E-3</v>
      </c>
      <c r="F13" s="167">
        <f t="shared" si="6"/>
        <v>-1.6441824713706726E-3</v>
      </c>
      <c r="G13" s="167">
        <f t="shared" si="6"/>
        <v>1.9350398931639945E-3</v>
      </c>
    </row>
    <row r="14" spans="1:11" s="2" customFormat="1" ht="13.5" x14ac:dyDescent="0.35">
      <c r="B14" s="38"/>
      <c r="C14" s="52"/>
      <c r="D14" s="52"/>
      <c r="E14" s="52"/>
      <c r="F14" s="52"/>
      <c r="G14" s="52"/>
    </row>
    <row r="15" spans="1:11" s="2" customFormat="1" ht="13.5" x14ac:dyDescent="0.35">
      <c r="B15" s="38" t="s">
        <v>20</v>
      </c>
      <c r="C15" s="52">
        <f>C34/C25</f>
        <v>0.25450257030541273</v>
      </c>
      <c r="D15" s="52">
        <f t="shared" ref="D15:G15" si="7">D34/D25</f>
        <v>0.24613673161436705</v>
      </c>
      <c r="E15" s="52">
        <f t="shared" si="7"/>
        <v>0.26891074130105902</v>
      </c>
      <c r="F15" s="52">
        <f t="shared" si="7"/>
        <v>0.25082003600759611</v>
      </c>
      <c r="G15" s="52">
        <f t="shared" si="7"/>
        <v>0.22704013845074164</v>
      </c>
    </row>
    <row r="16" spans="1:11" s="2" customFormat="1" ht="13.5" x14ac:dyDescent="0.35">
      <c r="B16" s="38" t="s">
        <v>10</v>
      </c>
      <c r="C16" s="52">
        <f>C35/C25</f>
        <v>6.8110069549440586E-2</v>
      </c>
      <c r="D16" s="52">
        <f t="shared" ref="D16:G16" si="8">D35/D25</f>
        <v>5.9124803119251911E-2</v>
      </c>
      <c r="E16" s="52">
        <f t="shared" si="8"/>
        <v>7.1711521617963209E-2</v>
      </c>
      <c r="F16" s="52">
        <f t="shared" si="8"/>
        <v>6.5471346009980183E-2</v>
      </c>
      <c r="G16" s="52">
        <f t="shared" si="8"/>
        <v>6.2779780195820589E-2</v>
      </c>
    </row>
    <row r="17" spans="2:7" s="2" customFormat="1" ht="13.5" x14ac:dyDescent="0.35">
      <c r="B17" s="171" t="s">
        <v>112</v>
      </c>
      <c r="C17" s="172">
        <f>C36/C25</f>
        <v>0.18639250075597219</v>
      </c>
      <c r="D17" s="172">
        <f t="shared" ref="D17:G17" si="9">D36/D25</f>
        <v>0.18701192849511517</v>
      </c>
      <c r="E17" s="172">
        <f t="shared" si="9"/>
        <v>0.19719921968309578</v>
      </c>
      <c r="F17" s="172">
        <f t="shared" si="9"/>
        <v>0.18534868999761595</v>
      </c>
      <c r="G17" s="172">
        <f t="shared" si="9"/>
        <v>0.16426035825492105</v>
      </c>
    </row>
    <row r="18" spans="2:7" s="2" customFormat="1" ht="13.5" x14ac:dyDescent="0.35">
      <c r="B18" s="38" t="s">
        <v>21</v>
      </c>
      <c r="C18" s="167">
        <v>0</v>
      </c>
      <c r="D18" s="167">
        <v>0</v>
      </c>
      <c r="E18" s="167">
        <v>0</v>
      </c>
      <c r="F18" s="167">
        <v>0</v>
      </c>
      <c r="G18" s="167">
        <v>0</v>
      </c>
    </row>
    <row r="19" spans="2:7" s="2" customFormat="1" ht="13.9" x14ac:dyDescent="0.4">
      <c r="B19" s="168" t="s">
        <v>113</v>
      </c>
      <c r="C19" s="173">
        <f>C38/C25</f>
        <v>0.18639250075597219</v>
      </c>
      <c r="D19" s="173">
        <f t="shared" ref="D19:G19" si="10">D38/D25</f>
        <v>0.18701192849511517</v>
      </c>
      <c r="E19" s="173">
        <f t="shared" si="10"/>
        <v>0.19719921968309578</v>
      </c>
      <c r="F19" s="173">
        <f t="shared" si="10"/>
        <v>0.18534868999761595</v>
      </c>
      <c r="G19" s="173">
        <f t="shared" si="10"/>
        <v>0.16426035825492105</v>
      </c>
    </row>
    <row r="20" spans="2:7" s="2" customFormat="1" ht="13.5" x14ac:dyDescent="0.35">
      <c r="B20" s="37"/>
      <c r="C20" s="37"/>
      <c r="D20" s="37"/>
      <c r="E20" s="37"/>
      <c r="F20" s="37"/>
      <c r="G20" s="37"/>
    </row>
    <row r="21" spans="2:7" s="2" customFormat="1" ht="13.5" x14ac:dyDescent="0.35">
      <c r="B21" s="37" t="s">
        <v>180</v>
      </c>
      <c r="C21" s="174"/>
      <c r="D21" s="174"/>
      <c r="E21" s="174"/>
      <c r="F21" s="174"/>
      <c r="G21" s="174"/>
    </row>
    <row r="22" spans="2:7" s="2" customFormat="1" ht="13.5" x14ac:dyDescent="0.35">
      <c r="B22" s="37"/>
      <c r="C22" s="37"/>
      <c r="D22" s="37"/>
      <c r="E22" s="37"/>
      <c r="F22" s="37"/>
      <c r="G22" s="37"/>
    </row>
    <row r="23" spans="2:7" s="2" customFormat="1" x14ac:dyDescent="0.45">
      <c r="B23" s="65" t="s">
        <v>22</v>
      </c>
      <c r="C23" s="37"/>
      <c r="D23" s="37"/>
      <c r="E23" s="37"/>
      <c r="F23" s="37"/>
      <c r="G23" s="37"/>
    </row>
    <row r="24" spans="2:7" s="2" customFormat="1" ht="13.5" x14ac:dyDescent="0.35">
      <c r="B24" s="166" t="str">
        <f>'P&amp;L'!$B$5</f>
        <v>Particulars</v>
      </c>
      <c r="C24" s="166"/>
      <c r="D24" s="166" t="str">
        <f>D4</f>
        <v>FY 20</v>
      </c>
      <c r="E24" s="166" t="str">
        <f t="shared" ref="E24:G24" si="11">E4</f>
        <v>FY 21</v>
      </c>
      <c r="F24" s="166" t="str">
        <f t="shared" si="11"/>
        <v>FY 22</v>
      </c>
      <c r="G24" s="166" t="str">
        <f t="shared" si="11"/>
        <v>FY 23</v>
      </c>
    </row>
    <row r="25" spans="2:7" s="2" customFormat="1" ht="13.5" x14ac:dyDescent="0.35">
      <c r="B25" s="38" t="s">
        <v>1</v>
      </c>
      <c r="C25" s="175">
        <v>82675</v>
      </c>
      <c r="D25" s="40">
        <v>90791</v>
      </c>
      <c r="E25" s="40">
        <v>100472</v>
      </c>
      <c r="F25" s="40">
        <v>121641</v>
      </c>
      <c r="G25" s="40">
        <v>146767</v>
      </c>
    </row>
    <row r="26" spans="2:7" s="2" customFormat="1" ht="13.5" x14ac:dyDescent="0.35">
      <c r="B26" s="38" t="s">
        <v>2</v>
      </c>
      <c r="C26" s="176">
        <v>53867</v>
      </c>
      <c r="D26" s="177">
        <v>60732</v>
      </c>
      <c r="E26" s="177">
        <v>65413</v>
      </c>
      <c r="F26" s="177">
        <v>81998</v>
      </c>
      <c r="G26" s="177">
        <v>102353</v>
      </c>
    </row>
    <row r="27" spans="2:7" s="2" customFormat="1" ht="13.5" x14ac:dyDescent="0.35">
      <c r="B27" s="171" t="s">
        <v>3</v>
      </c>
      <c r="C27" s="178">
        <f>C25-C26</f>
        <v>28808</v>
      </c>
      <c r="D27" s="179">
        <f>D25-D26</f>
        <v>30059</v>
      </c>
      <c r="E27" s="179">
        <f>E25-E26</f>
        <v>35059</v>
      </c>
      <c r="F27" s="179">
        <f>F25-F26</f>
        <v>39643</v>
      </c>
      <c r="G27" s="179">
        <f>G25-G26</f>
        <v>44414</v>
      </c>
    </row>
    <row r="28" spans="2:7" s="2" customFormat="1" ht="13.5" x14ac:dyDescent="0.35">
      <c r="B28" s="38"/>
      <c r="C28" s="52"/>
      <c r="D28" s="52"/>
      <c r="E28" s="52"/>
      <c r="F28" s="52"/>
    </row>
    <row r="29" spans="2:7" s="2" customFormat="1" ht="13.5" x14ac:dyDescent="0.35">
      <c r="B29" s="38" t="s">
        <v>4</v>
      </c>
      <c r="C29" s="175">
        <v>9928</v>
      </c>
      <c r="D29" s="40">
        <v>10685</v>
      </c>
      <c r="E29" s="40">
        <v>10437</v>
      </c>
      <c r="F29" s="40">
        <v>11628</v>
      </c>
      <c r="G29" s="40">
        <v>13509</v>
      </c>
    </row>
    <row r="30" spans="2:7" s="2" customFormat="1" ht="13.5" x14ac:dyDescent="0.35">
      <c r="B30" s="38" t="s">
        <v>5</v>
      </c>
      <c r="C30" s="175">
        <v>-2161</v>
      </c>
      <c r="D30" s="40">
        <v>-2803</v>
      </c>
      <c r="E30" s="190">
        <v>-2201</v>
      </c>
      <c r="F30" s="40">
        <v>-2295</v>
      </c>
      <c r="G30" s="40">
        <v>-2701</v>
      </c>
    </row>
    <row r="31" spans="2:7" s="2" customFormat="1" ht="13.5" x14ac:dyDescent="0.35">
      <c r="B31" s="38" t="s">
        <v>6</v>
      </c>
      <c r="C31" s="180">
        <f>C27-C29-C30</f>
        <v>21041</v>
      </c>
      <c r="D31" s="181">
        <f>D27-D29-D30</f>
        <v>22177</v>
      </c>
      <c r="E31" s="181">
        <f>E27-E29-E30</f>
        <v>26823</v>
      </c>
      <c r="F31" s="181">
        <f>F27-F29-F30</f>
        <v>30310</v>
      </c>
      <c r="G31" s="181">
        <f>G27-G29-G30</f>
        <v>33606</v>
      </c>
    </row>
    <row r="32" spans="2:7" s="2" customFormat="1" ht="13.5" x14ac:dyDescent="0.35">
      <c r="B32" s="38" t="s">
        <v>8</v>
      </c>
      <c r="C32" s="176">
        <v>0</v>
      </c>
      <c r="D32" s="177">
        <v>-170</v>
      </c>
      <c r="E32" s="177">
        <v>-195</v>
      </c>
      <c r="F32" s="177">
        <v>-200</v>
      </c>
      <c r="G32" s="177">
        <v>284</v>
      </c>
    </row>
    <row r="33" spans="2:7" s="2" customFormat="1" ht="13.5" x14ac:dyDescent="0.35">
      <c r="B33" s="38"/>
      <c r="C33" s="52"/>
      <c r="D33" s="52"/>
      <c r="E33" s="52"/>
      <c r="F33" s="52"/>
    </row>
    <row r="34" spans="2:7" s="2" customFormat="1" ht="13.5" x14ac:dyDescent="0.35">
      <c r="B34" s="38" t="s">
        <v>9</v>
      </c>
      <c r="C34" s="182">
        <f>C31-C32</f>
        <v>21041</v>
      </c>
      <c r="D34" s="182">
        <f t="shared" ref="D34:G34" si="12">D31-D32</f>
        <v>22347</v>
      </c>
      <c r="E34" s="182">
        <f t="shared" si="12"/>
        <v>27018</v>
      </c>
      <c r="F34" s="182">
        <f t="shared" si="12"/>
        <v>30510</v>
      </c>
      <c r="G34" s="182">
        <f t="shared" si="12"/>
        <v>33322</v>
      </c>
    </row>
    <row r="35" spans="2:7" s="2" customFormat="1" ht="13.5" x14ac:dyDescent="0.35">
      <c r="B35" s="38" t="s">
        <v>10</v>
      </c>
      <c r="C35" s="175">
        <v>5631</v>
      </c>
      <c r="D35" s="40">
        <v>5368</v>
      </c>
      <c r="E35" s="40">
        <v>7205</v>
      </c>
      <c r="F35" s="40">
        <v>7964</v>
      </c>
      <c r="G35" s="40">
        <v>9214</v>
      </c>
    </row>
    <row r="36" spans="2:7" s="2" customFormat="1" ht="13.5" x14ac:dyDescent="0.35">
      <c r="B36" s="171" t="s">
        <v>11</v>
      </c>
      <c r="C36" s="183">
        <f>C34-C35</f>
        <v>15410</v>
      </c>
      <c r="D36" s="183">
        <f t="shared" ref="D36:G36" si="13">D34-D35</f>
        <v>16979</v>
      </c>
      <c r="E36" s="183">
        <f t="shared" si="13"/>
        <v>19813</v>
      </c>
      <c r="F36" s="183">
        <f t="shared" si="13"/>
        <v>22546</v>
      </c>
      <c r="G36" s="183">
        <f t="shared" si="13"/>
        <v>24108</v>
      </c>
    </row>
    <row r="37" spans="2:7" s="2" customFormat="1" ht="13.5" hidden="1" x14ac:dyDescent="0.35">
      <c r="B37" s="38" t="s">
        <v>12</v>
      </c>
      <c r="C37" s="167"/>
      <c r="D37" s="167"/>
      <c r="E37" s="167"/>
      <c r="F37" s="167"/>
    </row>
    <row r="38" spans="2:7" s="2" customFormat="1" ht="13.9" x14ac:dyDescent="0.4">
      <c r="B38" s="168" t="s">
        <v>179</v>
      </c>
      <c r="C38" s="184">
        <f>C36</f>
        <v>15410</v>
      </c>
      <c r="D38" s="184">
        <f t="shared" ref="D38:G38" si="14">D36</f>
        <v>16979</v>
      </c>
      <c r="E38" s="184">
        <f t="shared" si="14"/>
        <v>19813</v>
      </c>
      <c r="F38" s="184">
        <f t="shared" si="14"/>
        <v>22546</v>
      </c>
      <c r="G38" s="184">
        <f t="shared" si="14"/>
        <v>24108</v>
      </c>
    </row>
    <row r="39" spans="2:7" s="2" customFormat="1" ht="13.9" x14ac:dyDescent="0.4">
      <c r="B39" s="168"/>
      <c r="C39" s="37"/>
      <c r="D39" s="37"/>
      <c r="E39" s="37"/>
      <c r="F39" s="37"/>
      <c r="G39" s="37"/>
    </row>
    <row r="40" spans="2:7" s="2" customFormat="1" ht="13.5" x14ac:dyDescent="0.35">
      <c r="B40" s="37"/>
      <c r="C40" s="37"/>
      <c r="D40" s="37"/>
      <c r="E40" s="37"/>
      <c r="F40" s="37"/>
      <c r="G40" s="37"/>
    </row>
    <row r="41" spans="2:7" s="2" customFormat="1" ht="13.9" x14ac:dyDescent="0.4">
      <c r="B41" s="54" t="s">
        <v>23</v>
      </c>
      <c r="C41" s="191" t="str">
        <f>'P&amp;L'!C5</f>
        <v>FY 19</v>
      </c>
      <c r="D41" s="191" t="str">
        <f>'P&amp;L'!D5</f>
        <v>FY 20</v>
      </c>
      <c r="E41" s="191" t="str">
        <f>'P&amp;L'!E5</f>
        <v>FY 21</v>
      </c>
      <c r="F41" s="191" t="str">
        <f>'P&amp;L'!F5</f>
        <v>FY 22</v>
      </c>
      <c r="G41" s="191" t="str">
        <f>'P&amp;L'!G5</f>
        <v>FY 23</v>
      </c>
    </row>
    <row r="42" spans="2:7" s="2" customFormat="1" ht="13.5" x14ac:dyDescent="0.35">
      <c r="B42" s="37" t="s">
        <v>107</v>
      </c>
      <c r="C42" s="192">
        <v>0</v>
      </c>
      <c r="D42" s="193">
        <f>(D25-C25)/C25</f>
        <v>9.8167523435137585E-2</v>
      </c>
      <c r="E42" s="193">
        <f>(E25-D25)/D25</f>
        <v>0.10662951173574474</v>
      </c>
      <c r="F42" s="193">
        <f>(F25-E25)/E25</f>
        <v>0.21069551715900947</v>
      </c>
      <c r="G42" s="193">
        <f>(G25-F25)/F25</f>
        <v>0.20655864387829762</v>
      </c>
    </row>
    <row r="43" spans="2:7" s="2" customFormat="1" ht="13.5" x14ac:dyDescent="0.35">
      <c r="B43" s="37" t="s">
        <v>216</v>
      </c>
      <c r="C43" s="192">
        <v>0</v>
      </c>
      <c r="D43" s="193">
        <f>(D31-C31)/C31</f>
        <v>5.3989829380732858E-2</v>
      </c>
      <c r="E43" s="193">
        <f t="shared" ref="E43:G43" si="15">(E31-D31)/D31</f>
        <v>0.2094963250214186</v>
      </c>
      <c r="F43" s="193">
        <f t="shared" si="15"/>
        <v>0.13000037281437571</v>
      </c>
      <c r="G43" s="193">
        <f t="shared" si="15"/>
        <v>0.10874298911250413</v>
      </c>
    </row>
    <row r="44" spans="2:7" s="2" customFormat="1" ht="13.5" x14ac:dyDescent="0.35">
      <c r="B44" s="37" t="s">
        <v>217</v>
      </c>
      <c r="C44" s="192">
        <v>0</v>
      </c>
      <c r="D44" s="193">
        <f>(D34-C34)/C34</f>
        <v>6.2069293284539709E-2</v>
      </c>
      <c r="E44" s="193">
        <f t="shared" ref="E44:G44" si="16">(E34-D34)/D34</f>
        <v>0.2090213451469996</v>
      </c>
      <c r="F44" s="193">
        <f t="shared" si="16"/>
        <v>0.12924716855429713</v>
      </c>
      <c r="G44" s="193">
        <f t="shared" si="16"/>
        <v>9.2166502785971813E-2</v>
      </c>
    </row>
    <row r="45" spans="2:7" s="2" customFormat="1" ht="13.5" x14ac:dyDescent="0.35">
      <c r="B45" s="37" t="s">
        <v>108</v>
      </c>
      <c r="C45" s="192">
        <v>0</v>
      </c>
      <c r="D45" s="193">
        <f>(D38-C38)/C38</f>
        <v>0.10181700194678781</v>
      </c>
      <c r="E45" s="193">
        <f t="shared" ref="E45:G45" si="17">(E38-D38)/D38</f>
        <v>0.16691206784851875</v>
      </c>
      <c r="F45" s="193">
        <f t="shared" si="17"/>
        <v>0.13793973653661737</v>
      </c>
      <c r="G45" s="193">
        <f t="shared" si="17"/>
        <v>6.9280581921405127E-2</v>
      </c>
    </row>
    <row r="46" spans="2:7" s="2" customFormat="1" ht="13.5" x14ac:dyDescent="0.35">
      <c r="B46" s="37"/>
      <c r="C46" s="192"/>
      <c r="D46" s="192"/>
      <c r="E46" s="192"/>
      <c r="F46" s="192"/>
      <c r="G46" s="192"/>
    </row>
    <row r="47" spans="2:7" s="2" customFormat="1" ht="13.5" x14ac:dyDescent="0.35">
      <c r="B47" s="37"/>
      <c r="C47" s="194" t="str">
        <f>C41</f>
        <v>FY 19</v>
      </c>
      <c r="D47" s="194" t="str">
        <f>D41</f>
        <v>FY 20</v>
      </c>
      <c r="E47" s="194" t="str">
        <f>E41</f>
        <v>FY 21</v>
      </c>
      <c r="F47" s="194" t="str">
        <f>F41</f>
        <v>FY 22</v>
      </c>
      <c r="G47" s="194" t="str">
        <f>G41</f>
        <v>FY 23</v>
      </c>
    </row>
    <row r="48" spans="2:7" s="2" customFormat="1" ht="13.5" x14ac:dyDescent="0.35">
      <c r="B48" s="37" t="s">
        <v>109</v>
      </c>
      <c r="C48" s="192">
        <v>0</v>
      </c>
      <c r="D48" s="195">
        <f>D42</f>
        <v>9.8167523435137585E-2</v>
      </c>
      <c r="E48" s="195">
        <f t="shared" ref="E48:G48" si="18">E42</f>
        <v>0.10662951173574474</v>
      </c>
      <c r="F48" s="195">
        <f t="shared" si="18"/>
        <v>0.21069551715900947</v>
      </c>
      <c r="G48" s="195">
        <f t="shared" si="18"/>
        <v>0.20655864387829762</v>
      </c>
    </row>
    <row r="49" spans="2:7" s="2" customFormat="1" ht="13.5" x14ac:dyDescent="0.35">
      <c r="B49" s="37" t="s">
        <v>110</v>
      </c>
      <c r="C49" s="192">
        <v>0</v>
      </c>
      <c r="D49" s="195">
        <f>D45</f>
        <v>0.10181700194678781</v>
      </c>
      <c r="E49" s="195">
        <f t="shared" ref="E49:G49" si="19">E45</f>
        <v>0.16691206784851875</v>
      </c>
      <c r="F49" s="195">
        <f t="shared" si="19"/>
        <v>0.13793973653661737</v>
      </c>
      <c r="G49" s="195">
        <f t="shared" si="19"/>
        <v>6.9280581921405127E-2</v>
      </c>
    </row>
    <row r="50" spans="2:7" s="2" customFormat="1" ht="13.5" x14ac:dyDescent="0.35">
      <c r="B50" s="37"/>
      <c r="C50" s="111"/>
      <c r="D50" s="111"/>
      <c r="E50" s="111"/>
      <c r="F50" s="111"/>
      <c r="G50" s="111"/>
    </row>
    <row r="51" spans="2:7" s="2" customFormat="1" ht="13.5" x14ac:dyDescent="0.35">
      <c r="B51" s="37"/>
      <c r="C51" s="111"/>
      <c r="D51" s="111"/>
      <c r="E51" s="111"/>
      <c r="F51" s="111"/>
      <c r="G51" s="111"/>
    </row>
    <row r="52" spans="2:7" s="2" customFormat="1" ht="13.9" x14ac:dyDescent="0.4">
      <c r="B52" s="54" t="s">
        <v>111</v>
      </c>
      <c r="C52" s="191"/>
      <c r="D52" s="191" t="str">
        <f t="shared" ref="D52:G52" si="20">D47</f>
        <v>FY 20</v>
      </c>
      <c r="E52" s="191" t="str">
        <f t="shared" si="20"/>
        <v>FY 21</v>
      </c>
      <c r="F52" s="191" t="str">
        <f t="shared" si="20"/>
        <v>FY 22</v>
      </c>
      <c r="G52" s="191" t="str">
        <f t="shared" si="20"/>
        <v>FY 23</v>
      </c>
    </row>
    <row r="53" spans="2:7" s="2" customFormat="1" ht="13.5" x14ac:dyDescent="0.35">
      <c r="B53" s="37" t="s">
        <v>26</v>
      </c>
      <c r="C53" s="111"/>
      <c r="D53" s="195">
        <f>D48</f>
        <v>9.8167523435137585E-2</v>
      </c>
      <c r="E53" s="195">
        <f t="shared" ref="E53:G53" si="21">E48</f>
        <v>0.10662951173574474</v>
      </c>
      <c r="F53" s="195">
        <f t="shared" si="21"/>
        <v>0.21069551715900947</v>
      </c>
      <c r="G53" s="195">
        <f t="shared" si="21"/>
        <v>0.20655864387829762</v>
      </c>
    </row>
    <row r="54" spans="2:7" s="2" customFormat="1" ht="13.5" x14ac:dyDescent="0.35">
      <c r="B54" s="37" t="s">
        <v>27</v>
      </c>
      <c r="C54" s="111"/>
      <c r="D54" s="195">
        <f>D43</f>
        <v>5.3989829380732858E-2</v>
      </c>
      <c r="E54" s="195">
        <f t="shared" ref="E54:G54" si="22">E43</f>
        <v>0.2094963250214186</v>
      </c>
      <c r="F54" s="195">
        <f t="shared" si="22"/>
        <v>0.13000037281437571</v>
      </c>
      <c r="G54" s="195">
        <f t="shared" si="22"/>
        <v>0.10874298911250413</v>
      </c>
    </row>
    <row r="55" spans="2:7" s="2" customFormat="1" ht="13.5" x14ac:dyDescent="0.35">
      <c r="B55" s="37" t="s">
        <v>213</v>
      </c>
      <c r="C55" s="111"/>
      <c r="D55" s="195">
        <f>D44</f>
        <v>6.2069293284539709E-2</v>
      </c>
      <c r="E55" s="195">
        <f t="shared" ref="E55:G55" si="23">E44</f>
        <v>0.2090213451469996</v>
      </c>
      <c r="F55" s="195">
        <f t="shared" si="23"/>
        <v>0.12924716855429713</v>
      </c>
      <c r="G55" s="195">
        <f t="shared" si="23"/>
        <v>9.2166502785971813E-2</v>
      </c>
    </row>
    <row r="56" spans="2:7" s="2" customFormat="1" ht="13.5" x14ac:dyDescent="0.35">
      <c r="B56" s="37" t="s">
        <v>28</v>
      </c>
      <c r="C56" s="111"/>
      <c r="D56" s="195">
        <f>D45</f>
        <v>0.10181700194678781</v>
      </c>
      <c r="E56" s="195">
        <f t="shared" ref="E56:G56" si="24">E45</f>
        <v>0.16691206784851875</v>
      </c>
      <c r="F56" s="195">
        <f t="shared" si="24"/>
        <v>0.13793973653661737</v>
      </c>
      <c r="G56" s="195">
        <f t="shared" si="24"/>
        <v>6.9280581921405127E-2</v>
      </c>
    </row>
    <row r="57" spans="2:7" s="2" customFormat="1" ht="13.5" x14ac:dyDescent="0.35">
      <c r="B57" s="37"/>
      <c r="C57" s="111"/>
      <c r="D57" s="195"/>
      <c r="E57" s="195"/>
      <c r="F57" s="195"/>
      <c r="G57" s="195"/>
    </row>
    <row r="58" spans="2:7" s="2" customFormat="1" ht="13.9" x14ac:dyDescent="0.4">
      <c r="B58" s="54" t="s">
        <v>25</v>
      </c>
      <c r="C58" s="191"/>
      <c r="D58" s="191" t="str">
        <f>D41</f>
        <v>FY 20</v>
      </c>
      <c r="E58" s="191" t="str">
        <f>E41</f>
        <v>FY 21</v>
      </c>
      <c r="F58" s="191" t="str">
        <f>F41</f>
        <v>FY 22</v>
      </c>
      <c r="G58" s="191" t="str">
        <f>G41</f>
        <v>FY 23</v>
      </c>
    </row>
    <row r="59" spans="2:7" s="2" customFormat="1" ht="13.5" x14ac:dyDescent="0.35">
      <c r="B59" s="37" t="s">
        <v>218</v>
      </c>
      <c r="C59" s="111"/>
      <c r="D59" s="196">
        <f>D55/D53</f>
        <v>0.63227930289543133</v>
      </c>
      <c r="E59" s="196">
        <f t="shared" ref="E59:G59" si="25">E55/E53</f>
        <v>1.9602579224502881</v>
      </c>
      <c r="F59" s="196">
        <f t="shared" si="25"/>
        <v>0.61343103212184524</v>
      </c>
      <c r="G59" s="196">
        <f t="shared" si="25"/>
        <v>0.44620017373988685</v>
      </c>
    </row>
    <row r="60" spans="2:7" s="2" customFormat="1" ht="13.5" x14ac:dyDescent="0.35">
      <c r="B60" s="37" t="s">
        <v>215</v>
      </c>
      <c r="C60" s="111"/>
      <c r="D60" s="196">
        <f>D54/D53</f>
        <v>0.54997648398867538</v>
      </c>
      <c r="E60" s="196">
        <f t="shared" ref="E60:G60" si="26">E54/E53</f>
        <v>1.9647124103935145</v>
      </c>
      <c r="F60" s="196">
        <f t="shared" si="26"/>
        <v>0.61700587922934269</v>
      </c>
      <c r="G60" s="196">
        <f t="shared" si="26"/>
        <v>0.52645092488394951</v>
      </c>
    </row>
    <row r="61" spans="2:7" s="2" customFormat="1" ht="13.5" x14ac:dyDescent="0.35">
      <c r="B61" s="37" t="s">
        <v>214</v>
      </c>
      <c r="C61" s="111"/>
      <c r="D61" s="196">
        <f>D55/D54</f>
        <v>1.1496478873239435</v>
      </c>
      <c r="E61" s="196">
        <f t="shared" ref="E61:G61" si="27">E55/E54</f>
        <v>0.99773275319091903</v>
      </c>
      <c r="F61" s="196">
        <f t="shared" si="27"/>
        <v>0.99420613769197375</v>
      </c>
      <c r="G61" s="196">
        <f t="shared" si="27"/>
        <v>0.84756271220958901</v>
      </c>
    </row>
    <row r="62" spans="2:7" s="2" customFormat="1" ht="13.5" x14ac:dyDescent="0.35">
      <c r="B62" s="185"/>
      <c r="C62" s="64"/>
      <c r="D62" s="64"/>
      <c r="E62" s="64"/>
      <c r="F62" s="64"/>
      <c r="G62" s="64"/>
    </row>
    <row r="63" spans="2:7" s="2" customFormat="1" ht="13.5" x14ac:dyDescent="0.35">
      <c r="B63" s="185"/>
      <c r="C63" s="64"/>
      <c r="D63" s="64"/>
      <c r="E63" s="64"/>
      <c r="F63" s="64"/>
      <c r="G63" s="64"/>
    </row>
    <row r="64" spans="2:7" s="2" customFormat="1" ht="13.5" x14ac:dyDescent="0.35">
      <c r="B64" s="186"/>
      <c r="C64" s="187"/>
      <c r="D64" s="187"/>
      <c r="E64" s="187"/>
      <c r="F64" s="187"/>
      <c r="G64" s="18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15B0-30A6-4A7F-96BC-4171B458DBEF}">
  <sheetPr>
    <tabColor rgb="FFFFFF00"/>
  </sheetPr>
  <dimension ref="A1:C17"/>
  <sheetViews>
    <sheetView showGridLines="0" zoomScale="70" zoomScaleNormal="70" workbookViewId="0">
      <selection activeCell="C17" sqref="C17"/>
    </sheetView>
  </sheetViews>
  <sheetFormatPr defaultRowHeight="14.25" x14ac:dyDescent="0.45"/>
  <cols>
    <col min="1" max="1" width="2.53125" customWidth="1"/>
    <col min="2" max="2" width="51.46484375" customWidth="1"/>
    <col min="3" max="3" width="10.265625" bestFit="1" customWidth="1"/>
  </cols>
  <sheetData>
    <row r="1" spans="1:3" ht="22.5" x14ac:dyDescent="0.6">
      <c r="A1" s="1">
        <f>'P&amp;L'!A1</f>
        <v>0</v>
      </c>
    </row>
    <row r="3" spans="1:3" ht="15.4" x14ac:dyDescent="0.45">
      <c r="A3" s="3"/>
      <c r="B3" s="14"/>
      <c r="C3" s="14"/>
    </row>
    <row r="4" spans="1:3" x14ac:dyDescent="0.45">
      <c r="A4" s="2"/>
      <c r="B4" s="15"/>
      <c r="C4" s="83" t="s">
        <v>140</v>
      </c>
    </row>
    <row r="5" spans="1:3" ht="14.65" thickBot="1" x14ac:dyDescent="0.5">
      <c r="A5" s="12"/>
      <c r="B5" s="87" t="s">
        <v>0</v>
      </c>
      <c r="C5" s="150" t="s">
        <v>208</v>
      </c>
    </row>
    <row r="6" spans="1:3" x14ac:dyDescent="0.45">
      <c r="A6" s="12"/>
      <c r="B6" s="17" t="s">
        <v>139</v>
      </c>
      <c r="C6" s="85">
        <f>50*100</f>
        <v>5000</v>
      </c>
    </row>
    <row r="7" spans="1:3" x14ac:dyDescent="0.45">
      <c r="B7" s="83" t="s">
        <v>141</v>
      </c>
      <c r="C7" s="85">
        <v>2500</v>
      </c>
    </row>
    <row r="8" spans="1:3" x14ac:dyDescent="0.45">
      <c r="B8" s="88" t="s">
        <v>173</v>
      </c>
      <c r="C8" s="86">
        <f>C6-C7</f>
        <v>2500</v>
      </c>
    </row>
    <row r="9" spans="1:3" ht="64.05" customHeight="1" x14ac:dyDescent="0.45"/>
    <row r="11" spans="1:3" ht="15.4" x14ac:dyDescent="0.45">
      <c r="A11" s="3"/>
    </row>
    <row r="13" spans="1:3" x14ac:dyDescent="0.45">
      <c r="B13" s="15"/>
      <c r="C13" s="83" t="s">
        <v>140</v>
      </c>
    </row>
    <row r="14" spans="1:3" ht="14.65" thickBot="1" x14ac:dyDescent="0.5">
      <c r="B14" s="87" t="s">
        <v>0</v>
      </c>
      <c r="C14" s="84" t="s">
        <v>174</v>
      </c>
    </row>
    <row r="15" spans="1:3" x14ac:dyDescent="0.45">
      <c r="B15" s="17" t="s">
        <v>175</v>
      </c>
      <c r="C15" s="85">
        <f>C8*0.1667</f>
        <v>416.74999999999994</v>
      </c>
    </row>
    <row r="16" spans="1:3" x14ac:dyDescent="0.45">
      <c r="B16" s="83" t="s">
        <v>176</v>
      </c>
      <c r="C16" s="85">
        <f>C8*0.8333</f>
        <v>2083.25</v>
      </c>
    </row>
    <row r="17" spans="2:3" x14ac:dyDescent="0.45">
      <c r="B17" s="88" t="s">
        <v>177</v>
      </c>
      <c r="C17" s="86">
        <f>SUM(C15:C16)</f>
        <v>2500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Case Introduction</vt:lpstr>
      <vt:lpstr>P&amp;L</vt:lpstr>
      <vt:lpstr>Balance Sheet</vt:lpstr>
      <vt:lpstr>Cash Flow</vt:lpstr>
      <vt:lpstr>Relative valuation</vt:lpstr>
      <vt:lpstr>BS Analysis sheet</vt:lpstr>
      <vt:lpstr>P&amp;L Analysis sheet</vt:lpstr>
      <vt:lpstr>Funding plan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Lalit</dc:creator>
  <cp:lastModifiedBy>ARPIT TRIPATHI</cp:lastModifiedBy>
  <dcterms:created xsi:type="dcterms:W3CDTF">2023-06-19T07:51:04Z</dcterms:created>
  <dcterms:modified xsi:type="dcterms:W3CDTF">2026-08-13T18:35:24Z</dcterms:modified>
</cp:coreProperties>
</file>